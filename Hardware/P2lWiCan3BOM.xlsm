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35" windowWidth="27795" windowHeight="12015"/>
  </bookViews>
  <sheets>
    <sheet name="Hardware1" sheetId="1" r:id="rId1"/>
  </sheets>
  <calcPr calcId="145621"/>
</workbook>
</file>

<file path=xl/calcChain.xml><?xml version="1.0" encoding="utf-8"?>
<calcChain xmlns="http://schemas.openxmlformats.org/spreadsheetml/2006/main">
  <c r="J54" i="1" l="1"/>
  <c r="J53" i="1"/>
  <c r="J52" i="1"/>
  <c r="J51" i="1"/>
  <c r="J50" i="1"/>
  <c r="J49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<sst xmlns="http://schemas.openxmlformats.org/spreadsheetml/2006/main" count="225" uniqueCount="175">
  <si>
    <t>Item</t>
  </si>
  <si>
    <t>Qty</t>
  </si>
  <si>
    <t>Reference(s)</t>
  </si>
  <si>
    <t>Value</t>
  </si>
  <si>
    <t>Footprint</t>
  </si>
  <si>
    <t>MPN</t>
  </si>
  <si>
    <t>MPN1</t>
  </si>
  <si>
    <t>Manufacturer</t>
  </si>
  <si>
    <t>Manufacturer1</t>
  </si>
  <si>
    <t>BZ1</t>
  </si>
  <si>
    <t>GT-0903A</t>
  </si>
  <si>
    <t>Buzzer_Beeper:GT-0903A</t>
  </si>
  <si>
    <t>Soberton Inc.</t>
  </si>
  <si>
    <t>1uF</t>
  </si>
  <si>
    <t>Capacitor_SMD:C_0603_1608Metric</t>
  </si>
  <si>
    <t>100nF</t>
  </si>
  <si>
    <t>C5</t>
  </si>
  <si>
    <t>4.7nF</t>
  </si>
  <si>
    <t>35V</t>
  </si>
  <si>
    <t>C7</t>
  </si>
  <si>
    <t>10uF</t>
  </si>
  <si>
    <t>Capacitor_SMD:C_1206_3216Metric</t>
  </si>
  <si>
    <t>CL31B106KBHNNNE</t>
  </si>
  <si>
    <t>Samsung Electro-Mechanics</t>
  </si>
  <si>
    <t>22uF</t>
  </si>
  <si>
    <t>C13</t>
  </si>
  <si>
    <t>330pF</t>
  </si>
  <si>
    <t>D1</t>
  </si>
  <si>
    <t>1N4148X</t>
  </si>
  <si>
    <t>Diode_SMD:D_SOD-523</t>
  </si>
  <si>
    <t>1N4148X-TP</t>
  </si>
  <si>
    <t>Micro Commercial Co</t>
  </si>
  <si>
    <t>TSSE3U60H</t>
  </si>
  <si>
    <t>Diode_SMD:TSSE3U45H</t>
  </si>
  <si>
    <t>Taiwan Semiconductor Corporation</t>
  </si>
  <si>
    <t>PTVS24VU1UPA</t>
  </si>
  <si>
    <t>Package_DFN_QFN:PTVS10VU1UPAZ</t>
  </si>
  <si>
    <t xml:space="preserve">PTVS24VU1UPAZ </t>
  </si>
  <si>
    <t xml:space="preserve">Nexperia </t>
  </si>
  <si>
    <t>D5</t>
  </si>
  <si>
    <t>RESD1CANYT116</t>
  </si>
  <si>
    <t>Package_TO_SOT_SMD:SOT-23</t>
  </si>
  <si>
    <t>Rohm Semiconductor</t>
  </si>
  <si>
    <t>F1</t>
  </si>
  <si>
    <t>Fuse:Fuse_0603_1608Metric</t>
  </si>
  <si>
    <t>C2Q 250</t>
  </si>
  <si>
    <t>Bel Fuse Inc.</t>
  </si>
  <si>
    <t>J1</t>
  </si>
  <si>
    <t>EspressifMon</t>
  </si>
  <si>
    <t>Connector_PinSocket_1.27mm:3220-06-0100-00</t>
  </si>
  <si>
    <t>PR20B03VBDN</t>
  </si>
  <si>
    <t>METZ CONNECT USA Inc.</t>
  </si>
  <si>
    <t>J10</t>
  </si>
  <si>
    <t>Connector:OQ0454510000G</t>
  </si>
  <si>
    <t>OQ0454510000G</t>
  </si>
  <si>
    <t>Amphenol Anytek</t>
  </si>
  <si>
    <t>L1</t>
  </si>
  <si>
    <t>SRF2012-221YA</t>
  </si>
  <si>
    <t>Inductor_SMD:SRF2012-221YA</t>
  </si>
  <si>
    <t>MCI-2012H-670-RU</t>
  </si>
  <si>
    <t>Bourns Inc.</t>
  </si>
  <si>
    <t>Mag Layers</t>
  </si>
  <si>
    <t>L2</t>
  </si>
  <si>
    <t>15uH</t>
  </si>
  <si>
    <t>Inductor_SMD:MPL-SE2512</t>
  </si>
  <si>
    <t>MPL-SE2512-150</t>
  </si>
  <si>
    <t>Monolithic Power Systems Inc.</t>
  </si>
  <si>
    <t>LED1</t>
  </si>
  <si>
    <t>LED150505</t>
  </si>
  <si>
    <t>LED_SMD:150505M173300</t>
  </si>
  <si>
    <t>150505M173300</t>
  </si>
  <si>
    <t xml:space="preserve">WÃ¼rth Elektronik </t>
  </si>
  <si>
    <t>SA08-11EWA</t>
  </si>
  <si>
    <t>Display:SA08-11</t>
  </si>
  <si>
    <t>Kingbright</t>
  </si>
  <si>
    <t>NTZD3152PT1G</t>
  </si>
  <si>
    <t>Package_TO_SOT_SMD:NTZD3152PT1G</t>
  </si>
  <si>
    <t>onsemi</t>
  </si>
  <si>
    <t>Q2</t>
  </si>
  <si>
    <t>NX7002BKR</t>
  </si>
  <si>
    <t>Nexperia</t>
  </si>
  <si>
    <t>Resistor_SMD:R_0603_1608Metric</t>
  </si>
  <si>
    <t>10K</t>
  </si>
  <si>
    <t>1K</t>
  </si>
  <si>
    <t>3K</t>
  </si>
  <si>
    <t>Resistor_SMD:R_0805_2012Metric</t>
  </si>
  <si>
    <t>210K</t>
  </si>
  <si>
    <t>47.5K</t>
  </si>
  <si>
    <t>95.3K</t>
  </si>
  <si>
    <t>40.2K</t>
  </si>
  <si>
    <t>SW1</t>
  </si>
  <si>
    <t>CHS-02TA</t>
  </si>
  <si>
    <t>Button_Switch_SMD:CHS-02TA</t>
  </si>
  <si>
    <t>218-2LPSTJ</t>
  </si>
  <si>
    <t>CTS Electrocomponents</t>
  </si>
  <si>
    <t>SW2</t>
  </si>
  <si>
    <t>CHS-08TA</t>
  </si>
  <si>
    <t>Button_Switch_SMD:CHS-08TA</t>
  </si>
  <si>
    <t>218-8LPSTJ</t>
  </si>
  <si>
    <t>SW3</t>
  </si>
  <si>
    <t>CHS-04TA</t>
  </si>
  <si>
    <t>Button_Switch_SMD:CHS-04TA</t>
  </si>
  <si>
    <t>218-4LPSTJ</t>
  </si>
  <si>
    <t>U1</t>
  </si>
  <si>
    <t>TCM809</t>
  </si>
  <si>
    <t>APX809S05-29SA-7</t>
  </si>
  <si>
    <t>Diodes Incorporated</t>
  </si>
  <si>
    <t>U2</t>
  </si>
  <si>
    <t>ESP32-C3-MINI(P2L)</t>
  </si>
  <si>
    <t>RF_Module:ESP32-C3-MINI-1-N4</t>
  </si>
  <si>
    <t xml:space="preserve">ESP32-C3-MINI-1-N4 </t>
  </si>
  <si>
    <t>Espressif Systems</t>
  </si>
  <si>
    <t>U3</t>
  </si>
  <si>
    <t>TJA1042TK</t>
  </si>
  <si>
    <t>Package_DFN_QFN:DFN-8-1EP_3x3mm_P0.65mm_EP1.6x2.40mm</t>
  </si>
  <si>
    <t>TJA1042T/3,118</t>
  </si>
  <si>
    <t>NXP USA Inc.</t>
  </si>
  <si>
    <t>U4</t>
  </si>
  <si>
    <t>CAT4016HV6(P2L)</t>
  </si>
  <si>
    <t>Package_DFN_QFN:CAT4016HV6-GT2</t>
  </si>
  <si>
    <t>CAT4016HV6-GT2</t>
  </si>
  <si>
    <t>U5</t>
  </si>
  <si>
    <t>XRA1405IL24-F</t>
  </si>
  <si>
    <t>Package_DFN_QFN:XRA1403IL24-F</t>
  </si>
  <si>
    <t>MaxLinear, Inc.</t>
  </si>
  <si>
    <t>U6</t>
  </si>
  <si>
    <t>MP4559DQ</t>
  </si>
  <si>
    <t>Package_DFN_QFN:DFN-10-1EP_3x3mm_P0.5mm_EP1.7x2.5mm</t>
  </si>
  <si>
    <t>MP4559DQ-LF-Z</t>
  </si>
  <si>
    <t>U7</t>
  </si>
  <si>
    <t>BD33IA5MEFJ-ME2</t>
  </si>
  <si>
    <t>Package_SO:BD33IA5MEFJ-ME2</t>
  </si>
  <si>
    <t>U8</t>
  </si>
  <si>
    <t>MB85RS16</t>
  </si>
  <si>
    <t>Package_SO:SOIC-8_3.9x4.9mm_P1.27mm</t>
  </si>
  <si>
    <t>MB85RS16NPNF-G-JNERE1</t>
  </si>
  <si>
    <t>Kaga FEI America, Inc.</t>
  </si>
  <si>
    <t>C1, C3, C11, C12</t>
  </si>
  <si>
    <t>C2, C4, C6, C8, C14</t>
  </si>
  <si>
    <t>C9, C10</t>
  </si>
  <si>
    <t>D2, D3</t>
  </si>
  <si>
    <t>D4, D7</t>
  </si>
  <si>
    <t>LED2, LED3, LED4</t>
  </si>
  <si>
    <t>Q1, Q3</t>
  </si>
  <si>
    <t>R1, R2, R3, R4</t>
  </si>
  <si>
    <t>R6, R7, R11, R12</t>
  </si>
  <si>
    <t>R9, R13</t>
  </si>
  <si>
    <t>R15, R16</t>
  </si>
  <si>
    <t>R21, R22, R23, R24</t>
  </si>
  <si>
    <t>C1, C3</t>
  </si>
  <si>
    <t>Capacitor_SMD:C_0402_1005Metric</t>
  </si>
  <si>
    <t>C2, C4</t>
  </si>
  <si>
    <t>100pF</t>
  </si>
  <si>
    <t>IC1</t>
  </si>
  <si>
    <t>IQS227BS</t>
  </si>
  <si>
    <t>Package_TO_SOT_SMD:IQS227BS</t>
  </si>
  <si>
    <t>IQS227AS-00000000 TSR</t>
  </si>
  <si>
    <t>Azoteq</t>
  </si>
  <si>
    <t>Conn_01x02</t>
  </si>
  <si>
    <t>Button_Switch_Keyboard:Touch</t>
  </si>
  <si>
    <t>J2, J3</t>
  </si>
  <si>
    <t>Conn_01x04</t>
  </si>
  <si>
    <t>Connector_PinHeader_2.54mm:NRBC004SZTD</t>
  </si>
  <si>
    <t>M20-8770442</t>
  </si>
  <si>
    <t>Harwin</t>
  </si>
  <si>
    <t>Resistor_SMD:R_0402_1005Metric</t>
  </si>
  <si>
    <t>Need</t>
  </si>
  <si>
    <t xml:space="preserve">Got </t>
  </si>
  <si>
    <t>Buy</t>
  </si>
  <si>
    <t>M</t>
  </si>
  <si>
    <t>SL36PL-TPMSCT-ND</t>
  </si>
  <si>
    <t>D</t>
  </si>
  <si>
    <t>A</t>
  </si>
  <si>
    <t>MB85RS64TPNF-G-JNERE2</t>
  </si>
  <si>
    <t>XRA1402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</si>
</sst>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R&quot;\ #,##0;[Red]&quot;R&quot;\ \-#,##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left"/>
    </xf>
    <xf numFmtId="6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0" quotePrefix="1" applyFont="1" applyAlignment="1">
      <alignment horizontal="center"/>
    </xf>
    <xf numFmtId="0" fontId="0" fillId="0" borderId="0" xfId="0" quotePrefix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4"/>
  <sheetViews>
    <sheetView tabSelected="1" topLeftCell="D31" workbookViewId="0">
      <selection activeCell="N45" sqref="N45"/>
    </sheetView>
  </sheetViews>
  <sheetFormatPr defaultRowHeight="15" x14ac:dyDescent="0.25"/>
  <cols>
    <col min="1" max="1" width="5.140625" style="3" bestFit="1" customWidth="1"/>
    <col min="2" max="2" width="4.140625" style="3" bestFit="1" customWidth="1"/>
    <col min="3" max="3" width="22.140625" style="1" bestFit="1" customWidth="1"/>
    <col min="4" max="4" width="18.7109375" style="1" bestFit="1" customWidth="1"/>
    <col min="5" max="5" width="38.42578125" customWidth="1"/>
    <col min="6" max="6" width="24.42578125" bestFit="1" customWidth="1"/>
    <col min="7" max="7" width="17.5703125" bestFit="1" customWidth="1"/>
    <col min="8" max="8" width="32.7109375" bestFit="1" customWidth="1"/>
    <col min="9" max="9" width="14.140625" bestFit="1" customWidth="1"/>
    <col min="10" max="10" width="9.140625" style="3"/>
    <col min="12" max="12" width="9.140625" style="3"/>
  </cols>
  <sheetData>
    <row r="1" spans="1:14" x14ac:dyDescent="0.25">
      <c r="K1">
        <v>80</v>
      </c>
    </row>
    <row r="3" spans="1:14" x14ac:dyDescent="0.25">
      <c r="A3" s="6" t="s">
        <v>0</v>
      </c>
      <c r="B3" s="6" t="s">
        <v>1</v>
      </c>
      <c r="C3" s="5" t="s">
        <v>2</v>
      </c>
      <c r="D3" s="5" t="s">
        <v>3</v>
      </c>
      <c r="E3" s="4" t="s">
        <v>4</v>
      </c>
      <c r="F3" s="4" t="s">
        <v>5</v>
      </c>
      <c r="G3" s="4" t="s">
        <v>6</v>
      </c>
      <c r="H3" s="4" t="s">
        <v>7</v>
      </c>
      <c r="I3" s="4" t="s">
        <v>8</v>
      </c>
      <c r="J3" s="6" t="s">
        <v>166</v>
      </c>
      <c r="K3" s="4" t="s">
        <v>167</v>
      </c>
      <c r="L3" s="7" t="s">
        <v>168</v>
      </c>
    </row>
    <row r="4" spans="1:14" x14ac:dyDescent="0.25">
      <c r="A4" s="3">
        <v>1</v>
      </c>
      <c r="B4" s="3">
        <v>1</v>
      </c>
      <c r="C4" s="1" t="s">
        <v>9</v>
      </c>
      <c r="D4" s="1" t="s">
        <v>10</v>
      </c>
      <c r="E4" t="s">
        <v>11</v>
      </c>
      <c r="F4" t="s">
        <v>10</v>
      </c>
      <c r="H4" t="s">
        <v>12</v>
      </c>
      <c r="J4" s="3">
        <f>B4*K$1</f>
        <v>80</v>
      </c>
      <c r="L4" s="3">
        <v>0</v>
      </c>
    </row>
    <row r="5" spans="1:14" x14ac:dyDescent="0.25">
      <c r="A5" s="3">
        <v>2</v>
      </c>
      <c r="B5" s="3">
        <v>4</v>
      </c>
      <c r="C5" s="1" t="s">
        <v>137</v>
      </c>
      <c r="D5" s="1" t="s">
        <v>13</v>
      </c>
      <c r="E5" t="s">
        <v>14</v>
      </c>
      <c r="J5" s="3">
        <f t="shared" ref="J5:J47" si="0">B5*K$1</f>
        <v>320</v>
      </c>
      <c r="L5" s="3">
        <v>0</v>
      </c>
    </row>
    <row r="6" spans="1:14" x14ac:dyDescent="0.25">
      <c r="A6" s="3">
        <v>3</v>
      </c>
      <c r="B6" s="3">
        <v>5</v>
      </c>
      <c r="C6" s="1" t="s">
        <v>138</v>
      </c>
      <c r="D6" s="1" t="s">
        <v>15</v>
      </c>
      <c r="E6" t="s">
        <v>14</v>
      </c>
      <c r="J6" s="3">
        <f t="shared" si="0"/>
        <v>400</v>
      </c>
      <c r="L6" s="3">
        <v>0</v>
      </c>
    </row>
    <row r="7" spans="1:14" x14ac:dyDescent="0.25">
      <c r="A7" s="3">
        <v>4</v>
      </c>
      <c r="B7" s="3">
        <v>1</v>
      </c>
      <c r="C7" s="1" t="s">
        <v>16</v>
      </c>
      <c r="D7" s="1" t="s">
        <v>17</v>
      </c>
      <c r="E7" t="s">
        <v>14</v>
      </c>
      <c r="F7" t="s">
        <v>18</v>
      </c>
      <c r="J7" s="3">
        <f t="shared" si="0"/>
        <v>80</v>
      </c>
      <c r="L7" s="3">
        <v>0</v>
      </c>
    </row>
    <row r="8" spans="1:14" x14ac:dyDescent="0.25">
      <c r="A8" s="3">
        <v>5</v>
      </c>
      <c r="B8" s="3">
        <v>1</v>
      </c>
      <c r="C8" s="1" t="s">
        <v>19</v>
      </c>
      <c r="D8" s="1" t="s">
        <v>20</v>
      </c>
      <c r="E8" t="s">
        <v>21</v>
      </c>
      <c r="F8" t="s">
        <v>22</v>
      </c>
      <c r="H8" t="s">
        <v>23</v>
      </c>
      <c r="J8" s="3">
        <f t="shared" si="0"/>
        <v>80</v>
      </c>
      <c r="L8" s="3">
        <v>0</v>
      </c>
    </row>
    <row r="9" spans="1:14" x14ac:dyDescent="0.25">
      <c r="A9" s="3">
        <v>6</v>
      </c>
      <c r="B9" s="3">
        <v>2</v>
      </c>
      <c r="C9" s="1" t="s">
        <v>139</v>
      </c>
      <c r="D9" s="1" t="s">
        <v>24</v>
      </c>
      <c r="E9" t="s">
        <v>21</v>
      </c>
      <c r="J9" s="3">
        <f t="shared" si="0"/>
        <v>160</v>
      </c>
      <c r="L9" s="3">
        <v>100</v>
      </c>
      <c r="M9" t="s">
        <v>169</v>
      </c>
    </row>
    <row r="10" spans="1:14" x14ac:dyDescent="0.25">
      <c r="A10" s="3">
        <v>7</v>
      </c>
      <c r="B10" s="3">
        <v>1</v>
      </c>
      <c r="C10" s="1" t="s">
        <v>25</v>
      </c>
      <c r="D10" s="1" t="s">
        <v>26</v>
      </c>
      <c r="E10" t="s">
        <v>14</v>
      </c>
      <c r="J10" s="3">
        <f t="shared" si="0"/>
        <v>80</v>
      </c>
      <c r="L10" s="3">
        <v>100</v>
      </c>
      <c r="M10" t="s">
        <v>169</v>
      </c>
    </row>
    <row r="11" spans="1:14" x14ac:dyDescent="0.25">
      <c r="A11" s="3">
        <v>8</v>
      </c>
      <c r="B11" s="3">
        <v>1</v>
      </c>
      <c r="C11" s="1" t="s">
        <v>27</v>
      </c>
      <c r="D11" s="1" t="s">
        <v>28</v>
      </c>
      <c r="E11" t="s">
        <v>29</v>
      </c>
      <c r="F11" t="s">
        <v>30</v>
      </c>
      <c r="H11" t="s">
        <v>31</v>
      </c>
      <c r="J11" s="3">
        <f t="shared" si="0"/>
        <v>80</v>
      </c>
      <c r="L11" s="3">
        <v>0</v>
      </c>
    </row>
    <row r="12" spans="1:14" x14ac:dyDescent="0.25">
      <c r="A12" s="3">
        <v>9</v>
      </c>
      <c r="B12" s="3">
        <v>2</v>
      </c>
      <c r="C12" s="1" t="s">
        <v>140</v>
      </c>
      <c r="D12" s="1" t="s">
        <v>32</v>
      </c>
      <c r="E12" t="s">
        <v>33</v>
      </c>
      <c r="F12" t="s">
        <v>32</v>
      </c>
      <c r="H12" t="s">
        <v>34</v>
      </c>
      <c r="J12" s="3">
        <f t="shared" si="0"/>
        <v>160</v>
      </c>
      <c r="L12" s="3">
        <v>200</v>
      </c>
      <c r="M12" t="s">
        <v>171</v>
      </c>
      <c r="N12" t="s">
        <v>170</v>
      </c>
    </row>
    <row r="13" spans="1:14" x14ac:dyDescent="0.25">
      <c r="A13" s="3">
        <v>10</v>
      </c>
      <c r="B13" s="3">
        <v>2</v>
      </c>
      <c r="C13" s="1" t="s">
        <v>141</v>
      </c>
      <c r="D13" s="1" t="s">
        <v>35</v>
      </c>
      <c r="E13" t="s">
        <v>36</v>
      </c>
      <c r="F13" t="s">
        <v>37</v>
      </c>
      <c r="H13" t="s">
        <v>38</v>
      </c>
      <c r="J13" s="3">
        <f t="shared" si="0"/>
        <v>160</v>
      </c>
      <c r="L13" s="3">
        <v>160</v>
      </c>
      <c r="M13" t="s">
        <v>172</v>
      </c>
    </row>
    <row r="14" spans="1:14" x14ac:dyDescent="0.25">
      <c r="A14" s="3">
        <v>11</v>
      </c>
      <c r="B14" s="3">
        <v>1</v>
      </c>
      <c r="C14" s="1" t="s">
        <v>39</v>
      </c>
      <c r="D14" s="1" t="s">
        <v>40</v>
      </c>
      <c r="E14" t="s">
        <v>41</v>
      </c>
      <c r="F14" t="s">
        <v>40</v>
      </c>
      <c r="H14" t="s">
        <v>42</v>
      </c>
      <c r="J14" s="3">
        <f t="shared" si="0"/>
        <v>80</v>
      </c>
      <c r="L14" s="3">
        <v>0</v>
      </c>
    </row>
    <row r="15" spans="1:14" x14ac:dyDescent="0.25">
      <c r="A15" s="3">
        <v>12</v>
      </c>
      <c r="B15" s="3">
        <v>1</v>
      </c>
      <c r="C15" s="1" t="s">
        <v>43</v>
      </c>
      <c r="D15" s="1">
        <v>0.25</v>
      </c>
      <c r="E15" t="s">
        <v>44</v>
      </c>
      <c r="F15" t="s">
        <v>45</v>
      </c>
      <c r="H15" t="s">
        <v>46</v>
      </c>
      <c r="J15" s="3">
        <f t="shared" si="0"/>
        <v>80</v>
      </c>
    </row>
    <row r="16" spans="1:14" x14ac:dyDescent="0.25">
      <c r="A16" s="3">
        <v>14</v>
      </c>
      <c r="B16" s="3">
        <v>1</v>
      </c>
      <c r="C16" s="1" t="s">
        <v>47</v>
      </c>
      <c r="D16" s="1" t="s">
        <v>48</v>
      </c>
      <c r="E16" t="s">
        <v>49</v>
      </c>
      <c r="F16" t="s">
        <v>50</v>
      </c>
      <c r="H16" t="s">
        <v>51</v>
      </c>
      <c r="J16" s="3">
        <f t="shared" si="0"/>
        <v>80</v>
      </c>
      <c r="L16" s="3">
        <v>100</v>
      </c>
      <c r="M16" t="s">
        <v>171</v>
      </c>
    </row>
    <row r="17" spans="1:13" x14ac:dyDescent="0.25">
      <c r="A17" s="3">
        <v>16</v>
      </c>
      <c r="B17" s="3">
        <v>1</v>
      </c>
      <c r="C17" s="1" t="s">
        <v>52</v>
      </c>
      <c r="D17" s="1">
        <v>1757268</v>
      </c>
      <c r="E17" t="s">
        <v>53</v>
      </c>
      <c r="F17" t="s">
        <v>54</v>
      </c>
      <c r="H17" t="s">
        <v>55</v>
      </c>
      <c r="J17" s="3">
        <f t="shared" si="0"/>
        <v>80</v>
      </c>
      <c r="L17" s="3">
        <v>25</v>
      </c>
      <c r="M17" t="s">
        <v>169</v>
      </c>
    </row>
    <row r="18" spans="1:13" x14ac:dyDescent="0.25">
      <c r="A18" s="3">
        <v>17</v>
      </c>
      <c r="B18" s="3">
        <v>1</v>
      </c>
      <c r="C18" s="1" t="s">
        <v>56</v>
      </c>
      <c r="D18" s="1" t="s">
        <v>57</v>
      </c>
      <c r="E18" t="s">
        <v>58</v>
      </c>
      <c r="F18" t="s">
        <v>57</v>
      </c>
      <c r="G18" t="s">
        <v>59</v>
      </c>
      <c r="H18" t="s">
        <v>60</v>
      </c>
      <c r="I18" t="s">
        <v>61</v>
      </c>
      <c r="J18" s="3">
        <f t="shared" si="0"/>
        <v>80</v>
      </c>
    </row>
    <row r="19" spans="1:13" x14ac:dyDescent="0.25">
      <c r="A19" s="3">
        <v>18</v>
      </c>
      <c r="B19" s="3">
        <v>1</v>
      </c>
      <c r="C19" s="1" t="s">
        <v>62</v>
      </c>
      <c r="D19" s="1" t="s">
        <v>63</v>
      </c>
      <c r="E19" t="s">
        <v>64</v>
      </c>
      <c r="F19" t="s">
        <v>65</v>
      </c>
      <c r="H19" t="s">
        <v>66</v>
      </c>
      <c r="J19" s="3">
        <f t="shared" si="0"/>
        <v>80</v>
      </c>
      <c r="L19" s="3">
        <v>40</v>
      </c>
      <c r="M19" t="s">
        <v>169</v>
      </c>
    </row>
    <row r="20" spans="1:13" x14ac:dyDescent="0.25">
      <c r="A20" s="3">
        <v>19</v>
      </c>
      <c r="B20" s="3">
        <v>1</v>
      </c>
      <c r="C20" s="1" t="s">
        <v>67</v>
      </c>
      <c r="D20" s="1" t="s">
        <v>68</v>
      </c>
      <c r="E20" t="s">
        <v>69</v>
      </c>
      <c r="F20" t="s">
        <v>70</v>
      </c>
      <c r="H20" t="s">
        <v>71</v>
      </c>
      <c r="J20" s="3">
        <f t="shared" si="0"/>
        <v>80</v>
      </c>
      <c r="L20" s="3">
        <v>0</v>
      </c>
    </row>
    <row r="21" spans="1:13" x14ac:dyDescent="0.25">
      <c r="A21" s="3">
        <v>20</v>
      </c>
      <c r="B21" s="3">
        <v>3</v>
      </c>
      <c r="C21" s="1" t="s">
        <v>142</v>
      </c>
      <c r="D21" s="1" t="s">
        <v>72</v>
      </c>
      <c r="E21" t="s">
        <v>73</v>
      </c>
      <c r="F21" t="s">
        <v>72</v>
      </c>
      <c r="H21" t="s">
        <v>74</v>
      </c>
      <c r="J21" s="3">
        <f t="shared" si="0"/>
        <v>240</v>
      </c>
    </row>
    <row r="22" spans="1:13" x14ac:dyDescent="0.25">
      <c r="A22" s="3">
        <v>21</v>
      </c>
      <c r="B22" s="3">
        <v>2</v>
      </c>
      <c r="C22" s="1" t="s">
        <v>143</v>
      </c>
      <c r="D22" s="1" t="s">
        <v>75</v>
      </c>
      <c r="E22" t="s">
        <v>76</v>
      </c>
      <c r="F22" t="s">
        <v>75</v>
      </c>
      <c r="H22" t="s">
        <v>77</v>
      </c>
      <c r="J22" s="3">
        <f t="shared" si="0"/>
        <v>160</v>
      </c>
      <c r="L22" s="3">
        <v>200</v>
      </c>
      <c r="M22" t="s">
        <v>172</v>
      </c>
    </row>
    <row r="23" spans="1:13" x14ac:dyDescent="0.25">
      <c r="A23" s="3">
        <v>22</v>
      </c>
      <c r="B23" s="3">
        <v>1</v>
      </c>
      <c r="C23" s="1" t="s">
        <v>78</v>
      </c>
      <c r="D23" s="1" t="s">
        <v>79</v>
      </c>
      <c r="E23" t="s">
        <v>41</v>
      </c>
      <c r="F23" t="s">
        <v>79</v>
      </c>
      <c r="H23" t="s">
        <v>80</v>
      </c>
      <c r="J23" s="3">
        <f t="shared" si="0"/>
        <v>80</v>
      </c>
      <c r="L23" s="3">
        <v>0</v>
      </c>
    </row>
    <row r="24" spans="1:13" x14ac:dyDescent="0.25">
      <c r="A24" s="3">
        <v>23</v>
      </c>
      <c r="B24" s="3">
        <v>4</v>
      </c>
      <c r="C24" s="1" t="s">
        <v>144</v>
      </c>
      <c r="D24" s="1">
        <v>162</v>
      </c>
      <c r="E24" t="s">
        <v>81</v>
      </c>
      <c r="J24" s="3">
        <f t="shared" si="0"/>
        <v>320</v>
      </c>
      <c r="L24" s="3">
        <v>0</v>
      </c>
    </row>
    <row r="25" spans="1:13" x14ac:dyDescent="0.25">
      <c r="A25" s="3">
        <v>24</v>
      </c>
      <c r="B25" s="3">
        <v>1</v>
      </c>
      <c r="C25" s="2">
        <v>5</v>
      </c>
      <c r="D25" s="1">
        <v>0</v>
      </c>
      <c r="E25" t="s">
        <v>81</v>
      </c>
      <c r="J25" s="3">
        <f t="shared" si="0"/>
        <v>80</v>
      </c>
      <c r="L25" s="3">
        <v>0</v>
      </c>
    </row>
    <row r="26" spans="1:13" x14ac:dyDescent="0.25">
      <c r="A26" s="3">
        <v>25</v>
      </c>
      <c r="B26" s="3">
        <v>4</v>
      </c>
      <c r="C26" s="1" t="s">
        <v>145</v>
      </c>
      <c r="D26" s="1">
        <v>56</v>
      </c>
      <c r="E26" t="s">
        <v>81</v>
      </c>
      <c r="J26" s="3">
        <f t="shared" si="0"/>
        <v>320</v>
      </c>
      <c r="L26" s="3">
        <v>0</v>
      </c>
    </row>
    <row r="27" spans="1:13" x14ac:dyDescent="0.25">
      <c r="A27" s="3">
        <v>26</v>
      </c>
      <c r="B27" s="3">
        <v>1</v>
      </c>
      <c r="C27" s="2">
        <v>8</v>
      </c>
      <c r="D27" s="1">
        <v>100</v>
      </c>
      <c r="E27" t="s">
        <v>81</v>
      </c>
      <c r="J27" s="3">
        <f t="shared" si="0"/>
        <v>80</v>
      </c>
      <c r="L27" s="3">
        <v>0</v>
      </c>
    </row>
    <row r="28" spans="1:13" x14ac:dyDescent="0.25">
      <c r="A28" s="3">
        <v>27</v>
      </c>
      <c r="B28" s="3">
        <v>2</v>
      </c>
      <c r="C28" s="1" t="s">
        <v>146</v>
      </c>
      <c r="D28" s="1" t="s">
        <v>82</v>
      </c>
      <c r="E28" t="s">
        <v>81</v>
      </c>
      <c r="J28" s="3">
        <f t="shared" si="0"/>
        <v>160</v>
      </c>
      <c r="L28" s="3">
        <v>0</v>
      </c>
    </row>
    <row r="29" spans="1:13" x14ac:dyDescent="0.25">
      <c r="A29" s="3">
        <v>28</v>
      </c>
      <c r="B29" s="3">
        <v>1</v>
      </c>
      <c r="C29" s="2">
        <v>10</v>
      </c>
      <c r="D29" s="1" t="s">
        <v>83</v>
      </c>
      <c r="E29" t="s">
        <v>81</v>
      </c>
      <c r="J29" s="3">
        <f t="shared" si="0"/>
        <v>80</v>
      </c>
      <c r="L29" s="3">
        <v>0</v>
      </c>
    </row>
    <row r="30" spans="1:13" x14ac:dyDescent="0.25">
      <c r="A30" s="3">
        <v>29</v>
      </c>
      <c r="B30" s="3">
        <v>1</v>
      </c>
      <c r="C30" s="2">
        <v>14</v>
      </c>
      <c r="D30" s="1" t="s">
        <v>84</v>
      </c>
      <c r="E30" t="s">
        <v>81</v>
      </c>
      <c r="J30" s="3">
        <f t="shared" si="0"/>
        <v>80</v>
      </c>
      <c r="L30" s="3">
        <v>0</v>
      </c>
    </row>
    <row r="31" spans="1:13" x14ac:dyDescent="0.25">
      <c r="A31" s="3">
        <v>30</v>
      </c>
      <c r="B31" s="3">
        <v>2</v>
      </c>
      <c r="C31" s="1" t="s">
        <v>147</v>
      </c>
      <c r="D31" s="1">
        <v>60</v>
      </c>
      <c r="E31" t="s">
        <v>85</v>
      </c>
      <c r="J31" s="3">
        <f t="shared" si="0"/>
        <v>160</v>
      </c>
      <c r="L31" s="3">
        <v>200</v>
      </c>
      <c r="M31" t="s">
        <v>171</v>
      </c>
    </row>
    <row r="32" spans="1:13" x14ac:dyDescent="0.25">
      <c r="A32" s="3">
        <v>31</v>
      </c>
      <c r="B32" s="3">
        <v>1</v>
      </c>
      <c r="C32" s="2">
        <v>17</v>
      </c>
      <c r="D32" s="1" t="s">
        <v>86</v>
      </c>
      <c r="E32" t="s">
        <v>81</v>
      </c>
      <c r="J32" s="3">
        <f t="shared" si="0"/>
        <v>80</v>
      </c>
      <c r="L32" s="3">
        <v>0</v>
      </c>
    </row>
    <row r="33" spans="1:14" x14ac:dyDescent="0.25">
      <c r="A33" s="3">
        <v>32</v>
      </c>
      <c r="B33" s="3">
        <v>1</v>
      </c>
      <c r="C33" s="2">
        <v>18</v>
      </c>
      <c r="D33" s="1" t="s">
        <v>87</v>
      </c>
      <c r="E33" t="s">
        <v>81</v>
      </c>
      <c r="J33" s="3">
        <f t="shared" si="0"/>
        <v>80</v>
      </c>
      <c r="L33" s="3">
        <v>0</v>
      </c>
    </row>
    <row r="34" spans="1:14" x14ac:dyDescent="0.25">
      <c r="A34" s="3">
        <v>33</v>
      </c>
      <c r="B34" s="3">
        <v>1</v>
      </c>
      <c r="C34" s="2">
        <v>19</v>
      </c>
      <c r="D34" s="1" t="s">
        <v>88</v>
      </c>
      <c r="E34" t="s">
        <v>81</v>
      </c>
      <c r="J34" s="3">
        <f t="shared" si="0"/>
        <v>80</v>
      </c>
      <c r="L34" s="3">
        <v>0</v>
      </c>
    </row>
    <row r="35" spans="1:14" x14ac:dyDescent="0.25">
      <c r="A35" s="3">
        <v>34</v>
      </c>
      <c r="B35" s="3">
        <v>1</v>
      </c>
      <c r="C35" s="2">
        <v>20</v>
      </c>
      <c r="D35" s="1" t="s">
        <v>89</v>
      </c>
      <c r="E35" t="s">
        <v>81</v>
      </c>
      <c r="J35" s="3">
        <f t="shared" si="0"/>
        <v>80</v>
      </c>
      <c r="L35" s="3">
        <v>0</v>
      </c>
    </row>
    <row r="36" spans="1:14" x14ac:dyDescent="0.25">
      <c r="A36" s="3">
        <v>35</v>
      </c>
      <c r="B36" s="3">
        <v>4</v>
      </c>
      <c r="C36" s="1" t="s">
        <v>148</v>
      </c>
      <c r="D36" s="1">
        <v>42.2</v>
      </c>
      <c r="E36" t="s">
        <v>81</v>
      </c>
      <c r="J36" s="3">
        <f t="shared" si="0"/>
        <v>320</v>
      </c>
      <c r="L36" s="3">
        <v>5000</v>
      </c>
      <c r="M36" t="s">
        <v>169</v>
      </c>
    </row>
    <row r="37" spans="1:14" x14ac:dyDescent="0.25">
      <c r="A37" s="3">
        <v>36</v>
      </c>
      <c r="B37" s="3">
        <v>1</v>
      </c>
      <c r="C37" s="1" t="s">
        <v>90</v>
      </c>
      <c r="D37" s="1" t="s">
        <v>91</v>
      </c>
      <c r="E37" t="s">
        <v>92</v>
      </c>
      <c r="F37" t="s">
        <v>93</v>
      </c>
      <c r="H37" t="s">
        <v>94</v>
      </c>
      <c r="J37" s="3">
        <f t="shared" si="0"/>
        <v>80</v>
      </c>
      <c r="L37" s="3">
        <v>40</v>
      </c>
      <c r="M37" t="s">
        <v>169</v>
      </c>
      <c r="N37" t="s">
        <v>91</v>
      </c>
    </row>
    <row r="38" spans="1:14" x14ac:dyDescent="0.25">
      <c r="A38" s="3">
        <v>37</v>
      </c>
      <c r="B38" s="3">
        <v>1</v>
      </c>
      <c r="C38" s="1" t="s">
        <v>95</v>
      </c>
      <c r="D38" s="1" t="s">
        <v>96</v>
      </c>
      <c r="E38" t="s">
        <v>97</v>
      </c>
      <c r="F38" t="s">
        <v>98</v>
      </c>
      <c r="H38" t="s">
        <v>94</v>
      </c>
      <c r="J38" s="3">
        <f t="shared" si="0"/>
        <v>80</v>
      </c>
      <c r="L38" s="3">
        <v>30</v>
      </c>
      <c r="M38" t="s">
        <v>169</v>
      </c>
    </row>
    <row r="39" spans="1:14" x14ac:dyDescent="0.25">
      <c r="A39" s="3">
        <v>38</v>
      </c>
      <c r="B39" s="3">
        <v>1</v>
      </c>
      <c r="C39" s="1" t="s">
        <v>99</v>
      </c>
      <c r="D39" s="1" t="s">
        <v>100</v>
      </c>
      <c r="E39" t="s">
        <v>101</v>
      </c>
      <c r="F39" t="s">
        <v>102</v>
      </c>
      <c r="H39" t="s">
        <v>94</v>
      </c>
      <c r="J39" s="3">
        <f t="shared" si="0"/>
        <v>80</v>
      </c>
      <c r="L39" s="3">
        <v>0</v>
      </c>
    </row>
    <row r="40" spans="1:14" x14ac:dyDescent="0.25">
      <c r="A40" s="3">
        <v>39</v>
      </c>
      <c r="B40" s="3">
        <v>1</v>
      </c>
      <c r="C40" s="1" t="s">
        <v>103</v>
      </c>
      <c r="D40" s="1" t="s">
        <v>104</v>
      </c>
      <c r="E40" t="s">
        <v>41</v>
      </c>
      <c r="F40" t="s">
        <v>105</v>
      </c>
      <c r="H40" t="s">
        <v>106</v>
      </c>
      <c r="J40" s="3">
        <f t="shared" si="0"/>
        <v>80</v>
      </c>
      <c r="L40" s="3">
        <v>0</v>
      </c>
    </row>
    <row r="41" spans="1:14" x14ac:dyDescent="0.25">
      <c r="A41" s="3">
        <v>40</v>
      </c>
      <c r="B41" s="3">
        <v>1</v>
      </c>
      <c r="C41" s="1" t="s">
        <v>107</v>
      </c>
      <c r="D41" s="1" t="s">
        <v>108</v>
      </c>
      <c r="E41" t="s">
        <v>109</v>
      </c>
      <c r="F41" t="s">
        <v>110</v>
      </c>
      <c r="H41" t="s">
        <v>111</v>
      </c>
      <c r="J41" s="3">
        <f t="shared" si="0"/>
        <v>80</v>
      </c>
      <c r="L41" s="3">
        <v>40</v>
      </c>
      <c r="M41" t="s">
        <v>169</v>
      </c>
    </row>
    <row r="42" spans="1:14" x14ac:dyDescent="0.25">
      <c r="A42" s="3">
        <v>41</v>
      </c>
      <c r="B42" s="3">
        <v>1</v>
      </c>
      <c r="C42" s="1" t="s">
        <v>112</v>
      </c>
      <c r="D42" s="1" t="s">
        <v>113</v>
      </c>
      <c r="E42" t="s">
        <v>114</v>
      </c>
      <c r="F42" t="s">
        <v>115</v>
      </c>
      <c r="H42" t="s">
        <v>116</v>
      </c>
      <c r="J42" s="3">
        <f t="shared" si="0"/>
        <v>80</v>
      </c>
      <c r="L42" s="3">
        <v>40</v>
      </c>
      <c r="M42" t="s">
        <v>169</v>
      </c>
    </row>
    <row r="43" spans="1:14" x14ac:dyDescent="0.25">
      <c r="A43" s="3">
        <v>42</v>
      </c>
      <c r="B43" s="3">
        <v>1</v>
      </c>
      <c r="C43" s="1" t="s">
        <v>117</v>
      </c>
      <c r="D43" s="1" t="s">
        <v>118</v>
      </c>
      <c r="E43" t="s">
        <v>119</v>
      </c>
      <c r="F43" t="s">
        <v>120</v>
      </c>
      <c r="H43" t="s">
        <v>77</v>
      </c>
      <c r="J43" s="3">
        <f t="shared" si="0"/>
        <v>80</v>
      </c>
      <c r="L43" s="3">
        <v>0</v>
      </c>
    </row>
    <row r="44" spans="1:14" x14ac:dyDescent="0.25">
      <c r="A44" s="3">
        <v>43</v>
      </c>
      <c r="B44" s="3">
        <v>1</v>
      </c>
      <c r="C44" s="1" t="s">
        <v>121</v>
      </c>
      <c r="D44" s="1" t="s">
        <v>122</v>
      </c>
      <c r="E44" t="s">
        <v>123</v>
      </c>
      <c r="F44" t="s">
        <v>122</v>
      </c>
      <c r="H44" t="s">
        <v>124</v>
      </c>
      <c r="J44" s="3">
        <f t="shared" si="0"/>
        <v>80</v>
      </c>
      <c r="L44" s="3">
        <v>140</v>
      </c>
      <c r="M44" t="s">
        <v>169</v>
      </c>
      <c r="N44" s="8" t="s">
        <v>174</v>
      </c>
    </row>
    <row r="45" spans="1:14" x14ac:dyDescent="0.25">
      <c r="A45" s="3">
        <v>44</v>
      </c>
      <c r="B45" s="3">
        <v>1</v>
      </c>
      <c r="C45" s="1" t="s">
        <v>125</v>
      </c>
      <c r="D45" s="1" t="s">
        <v>126</v>
      </c>
      <c r="E45" t="s">
        <v>127</v>
      </c>
      <c r="F45" t="s">
        <v>128</v>
      </c>
      <c r="H45" t="s">
        <v>66</v>
      </c>
      <c r="J45" s="3">
        <f t="shared" si="0"/>
        <v>80</v>
      </c>
      <c r="L45" s="3">
        <v>0</v>
      </c>
    </row>
    <row r="46" spans="1:14" x14ac:dyDescent="0.25">
      <c r="A46" s="3">
        <v>45</v>
      </c>
      <c r="B46" s="3">
        <v>1</v>
      </c>
      <c r="C46" s="1" t="s">
        <v>129</v>
      </c>
      <c r="D46" s="1" t="s">
        <v>130</v>
      </c>
      <c r="E46" t="s">
        <v>131</v>
      </c>
      <c r="F46" t="s">
        <v>130</v>
      </c>
      <c r="H46" t="s">
        <v>42</v>
      </c>
      <c r="J46" s="3">
        <f t="shared" si="0"/>
        <v>80</v>
      </c>
      <c r="L46" s="3">
        <v>40</v>
      </c>
      <c r="M46" t="s">
        <v>171</v>
      </c>
    </row>
    <row r="47" spans="1:14" x14ac:dyDescent="0.25">
      <c r="A47" s="3">
        <v>46</v>
      </c>
      <c r="B47" s="3">
        <v>1</v>
      </c>
      <c r="C47" s="1" t="s">
        <v>132</v>
      </c>
      <c r="D47" s="1" t="s">
        <v>133</v>
      </c>
      <c r="E47" t="s">
        <v>134</v>
      </c>
      <c r="F47" s="8" t="s">
        <v>135</v>
      </c>
      <c r="H47" t="s">
        <v>136</v>
      </c>
      <c r="J47" s="3">
        <f t="shared" si="0"/>
        <v>80</v>
      </c>
      <c r="L47" s="3">
        <v>40</v>
      </c>
      <c r="M47" t="s">
        <v>171</v>
      </c>
      <c r="N47" t="s">
        <v>173</v>
      </c>
    </row>
    <row r="49" spans="1:13" x14ac:dyDescent="0.25">
      <c r="A49" s="3">
        <v>1</v>
      </c>
      <c r="B49" s="3">
        <v>2</v>
      </c>
      <c r="C49" s="1" t="s">
        <v>149</v>
      </c>
      <c r="D49" s="1" t="s">
        <v>13</v>
      </c>
      <c r="E49" t="s">
        <v>150</v>
      </c>
      <c r="J49" s="3">
        <f>B49*K$1*4</f>
        <v>640</v>
      </c>
    </row>
    <row r="50" spans="1:13" x14ac:dyDescent="0.25">
      <c r="A50" s="3">
        <v>2</v>
      </c>
      <c r="B50" s="3">
        <v>2</v>
      </c>
      <c r="C50" s="1" t="s">
        <v>151</v>
      </c>
      <c r="D50" s="1" t="s">
        <v>152</v>
      </c>
      <c r="E50" t="s">
        <v>150</v>
      </c>
      <c r="H50" t="s">
        <v>157</v>
      </c>
      <c r="J50" s="3">
        <f t="shared" ref="J50:J54" si="1">B50*K$1*4</f>
        <v>640</v>
      </c>
    </row>
    <row r="51" spans="1:13" x14ac:dyDescent="0.25">
      <c r="A51" s="3">
        <v>3</v>
      </c>
      <c r="B51" s="3">
        <v>1</v>
      </c>
      <c r="C51" s="1" t="s">
        <v>153</v>
      </c>
      <c r="D51" s="1" t="s">
        <v>154</v>
      </c>
      <c r="E51" t="s">
        <v>155</v>
      </c>
      <c r="F51" t="s">
        <v>156</v>
      </c>
      <c r="J51" s="3">
        <f t="shared" si="1"/>
        <v>320</v>
      </c>
    </row>
    <row r="52" spans="1:13" x14ac:dyDescent="0.25">
      <c r="A52" s="3">
        <v>4</v>
      </c>
      <c r="B52" s="3">
        <v>1</v>
      </c>
      <c r="C52" s="1" t="s">
        <v>47</v>
      </c>
      <c r="D52" s="1" t="s">
        <v>158</v>
      </c>
      <c r="E52" t="s">
        <v>159</v>
      </c>
      <c r="J52" s="3">
        <f t="shared" si="1"/>
        <v>320</v>
      </c>
    </row>
    <row r="53" spans="1:13" x14ac:dyDescent="0.25">
      <c r="A53" s="3">
        <v>5</v>
      </c>
      <c r="B53" s="3">
        <v>2</v>
      </c>
      <c r="C53" s="1" t="s">
        <v>160</v>
      </c>
      <c r="D53" s="1" t="s">
        <v>161</v>
      </c>
      <c r="E53" t="s">
        <v>162</v>
      </c>
      <c r="F53" t="s">
        <v>163</v>
      </c>
      <c r="H53" t="s">
        <v>164</v>
      </c>
      <c r="J53" s="3">
        <f t="shared" si="1"/>
        <v>640</v>
      </c>
      <c r="L53" s="3">
        <v>200</v>
      </c>
      <c r="M53" t="s">
        <v>171</v>
      </c>
    </row>
    <row r="54" spans="1:13" x14ac:dyDescent="0.25">
      <c r="A54" s="3">
        <v>6</v>
      </c>
      <c r="B54" s="3">
        <v>1</v>
      </c>
      <c r="C54" s="2">
        <v>1</v>
      </c>
      <c r="D54" s="1">
        <v>470</v>
      </c>
      <c r="E54" t="s">
        <v>165</v>
      </c>
      <c r="J54" s="3">
        <f t="shared" si="1"/>
        <v>320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Hardware1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</dc:creator>
  <cp:lastModifiedBy>Stephen</cp:lastModifiedBy>
  <dcterms:created xsi:type="dcterms:W3CDTF">2022-07-09T06:46:55Z</dcterms:created>
  <dcterms:modified xsi:type="dcterms:W3CDTF">2022-07-13T10:01:28Z</dcterms:modified>
</cp:coreProperties>
</file>