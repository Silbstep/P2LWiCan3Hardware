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240" yWindow="150" windowWidth="21075" windowHeight="11190"/>
  </bookViews>
  <sheets>
    <sheet name="Hardware" sheetId="1" r:id="rId1"/>
  </sheets>
  <calcPr calcId="145621"/>
</workbook>
</file>

<file path=xl/calcChain.xml><?xml version="1.0" encoding="utf-8"?>
<calcChain xmlns="http://schemas.openxmlformats.org/spreadsheetml/2006/main">
  <c r="S53" i="1" l="1"/>
  <c r="R53" i="1"/>
  <c r="T50" i="1" l="1"/>
  <c r="T32" i="1"/>
  <c r="T48" i="1" s="1"/>
  <c r="T4" i="1"/>
  <c r="T6" i="1"/>
  <c r="T12" i="1"/>
  <c r="T15" i="1"/>
  <c r="T16" i="1"/>
  <c r="T20" i="1"/>
  <c r="T23" i="1"/>
  <c r="T24" i="1"/>
  <c r="T26" i="1"/>
  <c r="T29" i="1"/>
  <c r="T31" i="1"/>
  <c r="E57" i="1" l="1"/>
  <c r="E56" i="1"/>
  <c r="E55" i="1"/>
  <c r="E54" i="1"/>
  <c r="E53" i="1"/>
  <c r="E52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R4" i="1"/>
  <c r="R19" i="1"/>
  <c r="R22" i="1"/>
  <c r="R28" i="1"/>
  <c r="O5" i="1" l="1"/>
  <c r="N3" i="1"/>
  <c r="M3" i="1"/>
  <c r="L3" i="1"/>
  <c r="Q57" i="1"/>
  <c r="P57" i="1"/>
  <c r="O57" i="1"/>
  <c r="Q56" i="1"/>
  <c r="P56" i="1"/>
  <c r="O56" i="1"/>
  <c r="Q55" i="1"/>
  <c r="P55" i="1"/>
  <c r="O55" i="1"/>
  <c r="Q54" i="1"/>
  <c r="P54" i="1"/>
  <c r="O54" i="1"/>
  <c r="Q53" i="1"/>
  <c r="P53" i="1"/>
  <c r="O53" i="1"/>
  <c r="Q52" i="1"/>
  <c r="P52" i="1"/>
  <c r="O52" i="1"/>
  <c r="O58" i="1" l="1"/>
  <c r="L28" i="1" s="1"/>
  <c r="P58" i="1"/>
  <c r="M28" i="1" s="1"/>
  <c r="Q58" i="1"/>
  <c r="N28" i="1" s="1"/>
  <c r="N14" i="1"/>
  <c r="M14" i="1"/>
  <c r="N2" i="1"/>
  <c r="M2" i="1"/>
  <c r="L14" i="1"/>
  <c r="L2" i="1"/>
  <c r="Q28" i="1" l="1"/>
  <c r="P28" i="1"/>
  <c r="O28" i="1"/>
  <c r="Q4" i="1"/>
  <c r="P4" i="1"/>
  <c r="O4" i="1"/>
  <c r="Q13" i="1"/>
  <c r="P13" i="1"/>
  <c r="O13" i="1"/>
  <c r="Q16" i="1"/>
  <c r="P16" i="1"/>
  <c r="O16" i="1"/>
  <c r="Q6" i="1"/>
  <c r="P6" i="1"/>
  <c r="O6" i="1"/>
  <c r="Q5" i="1"/>
  <c r="P5" i="1"/>
  <c r="Q12" i="1"/>
  <c r="P12" i="1"/>
  <c r="O12" i="1"/>
  <c r="Q9" i="1"/>
  <c r="P9" i="1"/>
  <c r="O9" i="1"/>
  <c r="Q7" i="1"/>
  <c r="P7" i="1"/>
  <c r="O7" i="1"/>
  <c r="Q21" i="1"/>
  <c r="P21" i="1"/>
  <c r="O21" i="1"/>
  <c r="Q10" i="1"/>
  <c r="P10" i="1"/>
  <c r="O10" i="1"/>
  <c r="Q8" i="1"/>
  <c r="P8" i="1"/>
  <c r="O8" i="1"/>
  <c r="Q11" i="1"/>
  <c r="P11" i="1"/>
  <c r="O11" i="1"/>
  <c r="Q46" i="1"/>
  <c r="P46" i="1"/>
  <c r="O46" i="1"/>
  <c r="Q45" i="1"/>
  <c r="P45" i="1"/>
  <c r="O45" i="1"/>
  <c r="Q44" i="1"/>
  <c r="P44" i="1"/>
  <c r="O44" i="1"/>
  <c r="Q43" i="1"/>
  <c r="P43" i="1"/>
  <c r="O43" i="1"/>
  <c r="Q42" i="1"/>
  <c r="P42" i="1"/>
  <c r="O42" i="1"/>
  <c r="Q41" i="1"/>
  <c r="P41" i="1"/>
  <c r="O41" i="1"/>
  <c r="Q40" i="1"/>
  <c r="P40" i="1"/>
  <c r="O40" i="1"/>
  <c r="Q39" i="1"/>
  <c r="P39" i="1"/>
  <c r="O39" i="1"/>
  <c r="Q38" i="1"/>
  <c r="P38" i="1"/>
  <c r="O38" i="1"/>
  <c r="Q37" i="1"/>
  <c r="P37" i="1"/>
  <c r="O37" i="1"/>
  <c r="Q36" i="1"/>
  <c r="P36" i="1"/>
  <c r="O36" i="1"/>
  <c r="Q35" i="1"/>
  <c r="P35" i="1"/>
  <c r="O35" i="1"/>
  <c r="Q27" i="1"/>
  <c r="P27" i="1"/>
  <c r="O27" i="1"/>
  <c r="Q22" i="1"/>
  <c r="P22" i="1"/>
  <c r="O22" i="1"/>
  <c r="Q19" i="1"/>
  <c r="P19" i="1"/>
  <c r="O19" i="1"/>
  <c r="Q18" i="1"/>
  <c r="P18" i="1"/>
  <c r="O18" i="1"/>
  <c r="Q20" i="1"/>
  <c r="P20" i="1"/>
  <c r="O20" i="1"/>
  <c r="Q24" i="1"/>
  <c r="P24" i="1"/>
  <c r="O24" i="1"/>
  <c r="Q23" i="1"/>
  <c r="P23" i="1"/>
  <c r="O23" i="1"/>
  <c r="Q25" i="1"/>
  <c r="P25" i="1"/>
  <c r="O25" i="1"/>
  <c r="Q31" i="1"/>
  <c r="P31" i="1"/>
  <c r="O31" i="1"/>
  <c r="Q15" i="1"/>
  <c r="P15" i="1"/>
  <c r="O15" i="1"/>
  <c r="Q30" i="1"/>
  <c r="P30" i="1"/>
  <c r="O30" i="1"/>
  <c r="Q34" i="1"/>
  <c r="P34" i="1"/>
  <c r="O34" i="1"/>
  <c r="Q29" i="1"/>
  <c r="P29" i="1"/>
  <c r="O29" i="1"/>
  <c r="Q26" i="1"/>
  <c r="P26" i="1"/>
  <c r="O26" i="1"/>
  <c r="Q32" i="1"/>
  <c r="P32" i="1"/>
  <c r="O32" i="1"/>
  <c r="Q47" i="1"/>
  <c r="P47" i="1"/>
  <c r="O47" i="1"/>
  <c r="Q33" i="1"/>
  <c r="P33" i="1"/>
  <c r="O33" i="1"/>
  <c r="Q17" i="1"/>
  <c r="P17" i="1"/>
  <c r="O17" i="1"/>
  <c r="Q3" i="1"/>
  <c r="P3" i="1"/>
  <c r="O3" i="1"/>
  <c r="Q14" i="1" l="1"/>
  <c r="P14" i="1"/>
  <c r="O14" i="1"/>
  <c r="Q2" i="1"/>
  <c r="P2" i="1"/>
  <c r="O2" i="1"/>
  <c r="P48" i="1" l="1"/>
  <c r="P50" i="1" s="1"/>
  <c r="O48" i="1"/>
  <c r="O50" i="1" s="1"/>
  <c r="Q48" i="1"/>
  <c r="Q50" i="1" l="1"/>
  <c r="Q51" i="1" s="1"/>
  <c r="R48" i="1"/>
  <c r="R50" i="1" s="1"/>
  <c r="S50" i="1" l="1"/>
  <c r="R51" i="1"/>
  <c r="T51" i="1" s="1"/>
</calcChain>
</file>

<file path=xl/sharedStrings.xml><?xml version="1.0" encoding="utf-8"?>
<sst xmlns="http://schemas.openxmlformats.org/spreadsheetml/2006/main" count="154" uniqueCount="137">
  <si>
    <t>Item</t>
  </si>
  <si>
    <t>Qty</t>
  </si>
  <si>
    <t>Reference(s)</t>
  </si>
  <si>
    <t>Value</t>
  </si>
  <si>
    <t>Field4</t>
  </si>
  <si>
    <t>MPN</t>
  </si>
  <si>
    <t>MPN1</t>
  </si>
  <si>
    <t>Manufacturer</t>
  </si>
  <si>
    <t>Manufacturer1</t>
  </si>
  <si>
    <t>BZ1</t>
  </si>
  <si>
    <t>GT-0903A</t>
  </si>
  <si>
    <t>Soberton Inc.</t>
  </si>
  <si>
    <t>C5</t>
  </si>
  <si>
    <t>C7</t>
  </si>
  <si>
    <t>C13</t>
  </si>
  <si>
    <t>D1</t>
  </si>
  <si>
    <t>1N4148X-TP</t>
  </si>
  <si>
    <t>Micro Commercial Co</t>
  </si>
  <si>
    <t>PTVS24VU1UPA</t>
  </si>
  <si>
    <t xml:space="preserve">PTVS24VU1UPAZ </t>
  </si>
  <si>
    <t xml:space="preserve">Nexperia </t>
  </si>
  <si>
    <t>J1</t>
  </si>
  <si>
    <t>PR20B03VBDN</t>
  </si>
  <si>
    <t>METZ CONNECT USA Inc.</t>
  </si>
  <si>
    <t>J10</t>
  </si>
  <si>
    <t>OQ0454510000G</t>
  </si>
  <si>
    <t>Amphenol Anytek</t>
  </si>
  <si>
    <t>L1</t>
  </si>
  <si>
    <t>SRF2012-221YA</t>
  </si>
  <si>
    <t>MCI-2012H-670-RU</t>
  </si>
  <si>
    <t>Bourns Inc.</t>
  </si>
  <si>
    <t>Mag Layers</t>
  </si>
  <si>
    <t>L2</t>
  </si>
  <si>
    <t>15uH</t>
  </si>
  <si>
    <t>MPL-SE2512-150</t>
  </si>
  <si>
    <t>Monolithic Power Systems Inc.</t>
  </si>
  <si>
    <t>LED1</t>
  </si>
  <si>
    <t>LED150505</t>
  </si>
  <si>
    <t>150505M173300</t>
  </si>
  <si>
    <t>SA08-11EWA</t>
  </si>
  <si>
    <t>Kingbright</t>
  </si>
  <si>
    <t>NTZD3152PT1G</t>
  </si>
  <si>
    <t>onsemi</t>
  </si>
  <si>
    <t>Q2</t>
  </si>
  <si>
    <t>NX7002BKR</t>
  </si>
  <si>
    <t>Nexperia</t>
  </si>
  <si>
    <t>SW1</t>
  </si>
  <si>
    <t>CHS-02TA</t>
  </si>
  <si>
    <t>218-2LPSTJ</t>
  </si>
  <si>
    <t>CTS Electrocomponents</t>
  </si>
  <si>
    <t>SW2</t>
  </si>
  <si>
    <t>CHS-08TA</t>
  </si>
  <si>
    <t>218-8LPSTJ</t>
  </si>
  <si>
    <t>SW3</t>
  </si>
  <si>
    <t>CHS-04TA</t>
  </si>
  <si>
    <t>218-4LPSTJ</t>
  </si>
  <si>
    <t>U1</t>
  </si>
  <si>
    <t>TCM809</t>
  </si>
  <si>
    <t>APX809S05-29SA-7</t>
  </si>
  <si>
    <t>Diodes Incorporated</t>
  </si>
  <si>
    <t>U2</t>
  </si>
  <si>
    <t>ESP32-C3-MINI(P2L)</t>
  </si>
  <si>
    <t xml:space="preserve">ESP32-C3-MINI-1-N4 </t>
  </si>
  <si>
    <t>Espressif Systems</t>
  </si>
  <si>
    <t>U3</t>
  </si>
  <si>
    <t>TJA1042T</t>
  </si>
  <si>
    <t>TJA1042T/3,118</t>
  </si>
  <si>
    <t>NXP USA Inc.</t>
  </si>
  <si>
    <t>U4</t>
  </si>
  <si>
    <t>CAT4016HV6(P2L)</t>
  </si>
  <si>
    <t>CAT4016HV6-GT2</t>
  </si>
  <si>
    <t>U5</t>
  </si>
  <si>
    <t>XRA1403IL24-F</t>
  </si>
  <si>
    <t>MaxLinear, Inc.</t>
  </si>
  <si>
    <t>U6</t>
  </si>
  <si>
    <t>MP4559DN</t>
  </si>
  <si>
    <t>MP4559DN-LF-Z</t>
  </si>
  <si>
    <t>U7</t>
  </si>
  <si>
    <t>BD33IA5MEFJ-ME2</t>
  </si>
  <si>
    <t>Rohm Semiconductor</t>
  </si>
  <si>
    <t>C1, C3, C11, C12</t>
  </si>
  <si>
    <t>C2, C4, C6, C8</t>
  </si>
  <si>
    <t>C9, C10</t>
  </si>
  <si>
    <t>D2, D3</t>
  </si>
  <si>
    <t>D4, D5, D6, D7, D8, D9</t>
  </si>
  <si>
    <t>LED2, LED3, LED4</t>
  </si>
  <si>
    <t>Q1, Q3</t>
  </si>
  <si>
    <t>R1, R2, R3, R4</t>
  </si>
  <si>
    <t>R6, R7, R11, R12</t>
  </si>
  <si>
    <t>R9, R13</t>
  </si>
  <si>
    <t>R15, R16</t>
  </si>
  <si>
    <t>Plug1</t>
  </si>
  <si>
    <t>Enc1</t>
  </si>
  <si>
    <t>Lens1</t>
  </si>
  <si>
    <t>PCB</t>
  </si>
  <si>
    <t>Key</t>
  </si>
  <si>
    <t>Manu</t>
  </si>
  <si>
    <t>C1, C3</t>
  </si>
  <si>
    <t>C2, C4</t>
  </si>
  <si>
    <t>R1</t>
  </si>
  <si>
    <t>IQS227</t>
  </si>
  <si>
    <t>Con1, Con2, Con3, Con4</t>
  </si>
  <si>
    <t>M20-8770442</t>
  </si>
  <si>
    <t>CC0402JRNPO9BN101</t>
  </si>
  <si>
    <t>Yageo</t>
  </si>
  <si>
    <t>CL05A105MQ5NNNC</t>
  </si>
  <si>
    <t>Samsung</t>
  </si>
  <si>
    <t>RC0402FR-07470RL</t>
  </si>
  <si>
    <t>SL36PL-TP</t>
  </si>
  <si>
    <t>XRA1201IL24TR-F</t>
  </si>
  <si>
    <t>PI4IOE5V9535ZDEX</t>
  </si>
  <si>
    <t>PCAL6416AHF,128</t>
  </si>
  <si>
    <t xml:space="preserve">Wurth Elektronik </t>
  </si>
  <si>
    <t>20020006-H041B01LF</t>
  </si>
  <si>
    <t>ACM-0603-121-T‎</t>
  </si>
  <si>
    <t>R5, F1</t>
  </si>
  <si>
    <t>22uF (1206)</t>
  </si>
  <si>
    <t>4.7nF (0603 50v)</t>
  </si>
  <si>
    <t>10uF (1206 50v)</t>
  </si>
  <si>
    <t>1uF (0603)</t>
  </si>
  <si>
    <t>330pF (0603)</t>
  </si>
  <si>
    <t>162 (0603, 1%)</t>
  </si>
  <si>
    <t>0 (0603, 1%)</t>
  </si>
  <si>
    <t>56 (0603, 1%)</t>
  </si>
  <si>
    <t>100 (0603, 1%)</t>
  </si>
  <si>
    <t>10K (0603, 1%)</t>
  </si>
  <si>
    <t>1K (0603, 1%)</t>
  </si>
  <si>
    <t>3K (0603, 1%)</t>
  </si>
  <si>
    <t>60 (0805, high W)</t>
  </si>
  <si>
    <t>210K (0603, 1%)</t>
  </si>
  <si>
    <t>47.5K (0603, 1%)</t>
  </si>
  <si>
    <t>95.3K (0603, 1%)</t>
  </si>
  <si>
    <t>40.2K (0603, 1%)</t>
  </si>
  <si>
    <t>100nF (0603)</t>
  </si>
  <si>
    <t>1uF (0402)</t>
  </si>
  <si>
    <t>100pF (0402)</t>
  </si>
  <si>
    <t>470 (0402, 1%)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</si>
</sst>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6" formatCode="&quot;R&quot;\ #,##0;[Red]&quot;R&quot;\ \-#,##0"/>
    <numFmt numFmtId="164" formatCode="&quot;R&quot;\ #,##0.00"/>
    <numFmt numFmtId="165" formatCode="[$$-409]#,##0.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7">
    <xf numFmtId="0" fontId="0" fillId="0" borderId="0" xfId="0"/>
    <xf numFmtId="0" fontId="16" fillId="0" borderId="0" xfId="0" applyFont="1"/>
    <xf numFmtId="0" fontId="16" fillId="0" borderId="0" xfId="0" applyFont="1" applyAlignment="1">
      <alignment horizontal="left"/>
    </xf>
    <xf numFmtId="0" fontId="0" fillId="0" borderId="0" xfId="0" applyAlignment="1">
      <alignment horizontal="left"/>
    </xf>
    <xf numFmtId="6" fontId="0" fillId="0" borderId="0" xfId="0" applyNumberFormat="1" applyAlignment="1">
      <alignment horizontal="left"/>
    </xf>
    <xf numFmtId="0" fontId="16" fillId="0" borderId="0" xfId="0" applyFon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16" fillId="0" borderId="10" xfId="0" applyNumberFormat="1" applyFont="1" applyBorder="1" applyAlignment="1">
      <alignment horizontal="center"/>
    </xf>
    <xf numFmtId="6" fontId="0" fillId="0" borderId="0" xfId="0" quotePrefix="1" applyNumberFormat="1" applyAlignment="1">
      <alignment horizontal="left"/>
    </xf>
    <xf numFmtId="165" fontId="16" fillId="0" borderId="0" xfId="0" applyNumberFormat="1" applyFont="1" applyAlignment="1">
      <alignment horizontal="center"/>
    </xf>
    <xf numFmtId="0" fontId="0" fillId="0" borderId="0" xfId="0" quotePrefix="1" applyAlignment="1">
      <alignment horizontal="left"/>
    </xf>
    <xf numFmtId="0" fontId="0" fillId="33" borderId="0" xfId="0" applyFill="1"/>
    <xf numFmtId="0" fontId="0" fillId="33" borderId="0" xfId="0" applyFill="1" applyAlignment="1">
      <alignment horizontal="left"/>
    </xf>
    <xf numFmtId="165" fontId="0" fillId="33" borderId="0" xfId="0" applyNumberFormat="1" applyFill="1" applyAlignment="1">
      <alignment horizontal="center"/>
    </xf>
    <xf numFmtId="165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58"/>
  <sheetViews>
    <sheetView tabSelected="1" topLeftCell="C16" workbookViewId="0">
      <selection activeCell="Q51" sqref="Q51"/>
    </sheetView>
  </sheetViews>
  <sheetFormatPr defaultRowHeight="15" x14ac:dyDescent="0.25"/>
  <cols>
    <col min="1" max="1" width="5.140625" bestFit="1" customWidth="1"/>
    <col min="2" max="2" width="4.140625" bestFit="1" customWidth="1"/>
    <col min="3" max="3" width="22.140625" style="3" bestFit="1" customWidth="1"/>
    <col min="4" max="4" width="18.7109375" style="3" bestFit="1" customWidth="1"/>
    <col min="5" max="5" width="6.42578125" bestFit="1" customWidth="1"/>
    <col min="6" max="6" width="19.5703125" bestFit="1" customWidth="1"/>
    <col min="7" max="7" width="17.5703125" bestFit="1" customWidth="1"/>
    <col min="8" max="9" width="17.5703125" customWidth="1"/>
    <col min="10" max="10" width="32.7109375" bestFit="1" customWidth="1"/>
    <col min="11" max="11" width="14.28515625" bestFit="1" customWidth="1"/>
    <col min="12" max="17" width="9.140625" style="6"/>
  </cols>
  <sheetData>
    <row r="1" spans="1:22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H1" s="1"/>
      <c r="I1" s="1"/>
      <c r="J1" s="1" t="s">
        <v>7</v>
      </c>
      <c r="K1" s="1" t="s">
        <v>8</v>
      </c>
      <c r="L1" s="5">
        <v>10</v>
      </c>
      <c r="M1" s="5">
        <v>100</v>
      </c>
      <c r="N1" s="5">
        <v>1000</v>
      </c>
      <c r="O1" s="5">
        <v>10</v>
      </c>
      <c r="P1" s="5">
        <v>100</v>
      </c>
      <c r="Q1" s="5">
        <v>1000</v>
      </c>
      <c r="T1" s="5">
        <v>3000</v>
      </c>
      <c r="V1">
        <v>19</v>
      </c>
    </row>
    <row r="2" spans="1:22" x14ac:dyDescent="0.25">
      <c r="A2">
        <v>45</v>
      </c>
      <c r="B2">
        <v>1</v>
      </c>
      <c r="C2" s="3" t="s">
        <v>92</v>
      </c>
      <c r="L2" s="8">
        <f>120/$V$1</f>
        <v>6.3157894736842106</v>
      </c>
      <c r="M2" s="8">
        <f>120/$V$1</f>
        <v>6.3157894736842106</v>
      </c>
      <c r="N2" s="8">
        <f>120/$V$1</f>
        <v>6.3157894736842106</v>
      </c>
      <c r="O2" s="8">
        <f t="shared" ref="O2:O47" si="0">L2*$B2</f>
        <v>6.3157894736842106</v>
      </c>
      <c r="P2" s="8">
        <f t="shared" ref="P2:P47" si="1">M2*$B2</f>
        <v>6.3157894736842106</v>
      </c>
      <c r="Q2" s="8">
        <f t="shared" ref="Q2:Q47" si="2">N2*$B2</f>
        <v>6.3157894736842106</v>
      </c>
    </row>
    <row r="3" spans="1:22" x14ac:dyDescent="0.25">
      <c r="A3">
        <v>49</v>
      </c>
      <c r="B3">
        <v>1</v>
      </c>
      <c r="C3" s="3" t="s">
        <v>96</v>
      </c>
      <c r="L3" s="8">
        <f>80/$V$1</f>
        <v>4.2105263157894735</v>
      </c>
      <c r="M3" s="8">
        <f>62.5/$V$1</f>
        <v>3.2894736842105261</v>
      </c>
      <c r="N3" s="8">
        <f>50/$V$1</f>
        <v>2.6315789473684212</v>
      </c>
      <c r="O3" s="8">
        <f t="shared" si="0"/>
        <v>4.2105263157894735</v>
      </c>
      <c r="P3" s="8">
        <f t="shared" si="1"/>
        <v>3.2894736842105261</v>
      </c>
      <c r="Q3" s="8">
        <f t="shared" si="2"/>
        <v>2.6315789473684212</v>
      </c>
      <c r="T3" s="16">
        <v>1.5</v>
      </c>
    </row>
    <row r="4" spans="1:22" x14ac:dyDescent="0.25">
      <c r="A4">
        <v>47</v>
      </c>
      <c r="B4">
        <v>1</v>
      </c>
      <c r="C4" s="3" t="s">
        <v>94</v>
      </c>
      <c r="L4" s="8">
        <v>2.1</v>
      </c>
      <c r="M4" s="8">
        <v>1.52</v>
      </c>
      <c r="N4" s="8">
        <v>0.83</v>
      </c>
      <c r="O4" s="8">
        <f t="shared" si="0"/>
        <v>2.1</v>
      </c>
      <c r="P4" s="8">
        <f t="shared" si="1"/>
        <v>1.52</v>
      </c>
      <c r="Q4" s="8">
        <f t="shared" si="2"/>
        <v>0.83</v>
      </c>
      <c r="R4">
        <f>0.33</f>
        <v>0.33</v>
      </c>
      <c r="T4" s="16">
        <f>P4</f>
        <v>1.52</v>
      </c>
    </row>
    <row r="5" spans="1:22" x14ac:dyDescent="0.25">
      <c r="A5">
        <v>41</v>
      </c>
      <c r="B5">
        <v>1</v>
      </c>
      <c r="C5" s="3" t="s">
        <v>71</v>
      </c>
      <c r="D5" s="3" t="s">
        <v>72</v>
      </c>
      <c r="E5">
        <f>B5*$T$1</f>
        <v>3000</v>
      </c>
      <c r="F5" t="s">
        <v>109</v>
      </c>
      <c r="G5" t="s">
        <v>109</v>
      </c>
      <c r="H5" t="s">
        <v>110</v>
      </c>
      <c r="I5" t="s">
        <v>111</v>
      </c>
      <c r="J5" t="s">
        <v>73</v>
      </c>
      <c r="L5" s="8">
        <v>1.47</v>
      </c>
      <c r="M5" s="8">
        <v>1.1499999999999999</v>
      </c>
      <c r="N5" s="8">
        <v>0.745</v>
      </c>
      <c r="O5" s="8">
        <f t="shared" si="0"/>
        <v>1.47</v>
      </c>
      <c r="P5" s="8">
        <f t="shared" si="1"/>
        <v>1.1499999999999999</v>
      </c>
      <c r="Q5" s="8">
        <f t="shared" si="2"/>
        <v>0.745</v>
      </c>
    </row>
    <row r="6" spans="1:22" x14ac:dyDescent="0.25">
      <c r="A6">
        <v>42</v>
      </c>
      <c r="B6">
        <v>1</v>
      </c>
      <c r="C6" s="3" t="s">
        <v>74</v>
      </c>
      <c r="D6" s="3" t="s">
        <v>75</v>
      </c>
      <c r="E6">
        <f t="shared" ref="E6:E47" si="3">B6*$T$1</f>
        <v>3000</v>
      </c>
      <c r="F6" t="s">
        <v>76</v>
      </c>
      <c r="J6" t="s">
        <v>35</v>
      </c>
      <c r="L6" s="8">
        <v>1.94</v>
      </c>
      <c r="M6" s="8">
        <v>1.56</v>
      </c>
      <c r="N6" s="8">
        <v>1.28</v>
      </c>
      <c r="O6" s="8">
        <f t="shared" si="0"/>
        <v>1.94</v>
      </c>
      <c r="P6" s="8">
        <f t="shared" si="1"/>
        <v>1.56</v>
      </c>
      <c r="Q6" s="8">
        <f t="shared" si="2"/>
        <v>1.28</v>
      </c>
      <c r="T6" s="16">
        <f>P6</f>
        <v>1.56</v>
      </c>
    </row>
    <row r="7" spans="1:22" x14ac:dyDescent="0.25">
      <c r="A7">
        <v>38</v>
      </c>
      <c r="B7">
        <v>1</v>
      </c>
      <c r="C7" s="3" t="s">
        <v>60</v>
      </c>
      <c r="D7" s="3" t="s">
        <v>61</v>
      </c>
      <c r="E7">
        <f t="shared" si="3"/>
        <v>3000</v>
      </c>
      <c r="F7" t="s">
        <v>62</v>
      </c>
      <c r="J7" t="s">
        <v>63</v>
      </c>
      <c r="L7" s="8">
        <v>1.88</v>
      </c>
      <c r="M7" s="8">
        <v>1.88</v>
      </c>
      <c r="N7" s="8">
        <v>1.88</v>
      </c>
      <c r="O7" s="8">
        <f t="shared" si="0"/>
        <v>1.88</v>
      </c>
      <c r="P7" s="8">
        <f t="shared" si="1"/>
        <v>1.88</v>
      </c>
      <c r="Q7" s="8">
        <f t="shared" si="2"/>
        <v>1.88</v>
      </c>
    </row>
    <row r="8" spans="1:22" x14ac:dyDescent="0.25">
      <c r="A8">
        <v>35</v>
      </c>
      <c r="B8">
        <v>1</v>
      </c>
      <c r="C8" s="3" t="s">
        <v>50</v>
      </c>
      <c r="D8" s="3" t="s">
        <v>51</v>
      </c>
      <c r="E8">
        <f t="shared" si="3"/>
        <v>3000</v>
      </c>
      <c r="F8" t="s">
        <v>52</v>
      </c>
      <c r="J8" t="s">
        <v>49</v>
      </c>
      <c r="L8" s="8">
        <v>1.54</v>
      </c>
      <c r="M8" s="8">
        <v>1.32</v>
      </c>
      <c r="N8" s="8">
        <v>1.04</v>
      </c>
      <c r="O8" s="8">
        <f t="shared" si="0"/>
        <v>1.54</v>
      </c>
      <c r="P8" s="8">
        <f t="shared" si="1"/>
        <v>1.32</v>
      </c>
      <c r="Q8" s="8">
        <f t="shared" si="2"/>
        <v>1.04</v>
      </c>
    </row>
    <row r="9" spans="1:22" x14ac:dyDescent="0.25">
      <c r="A9">
        <v>39</v>
      </c>
      <c r="B9">
        <v>1</v>
      </c>
      <c r="C9" s="3" t="s">
        <v>64</v>
      </c>
      <c r="D9" s="3" t="s">
        <v>65</v>
      </c>
      <c r="E9">
        <f t="shared" si="3"/>
        <v>3000</v>
      </c>
      <c r="F9" t="s">
        <v>66</v>
      </c>
      <c r="J9" t="s">
        <v>67</v>
      </c>
      <c r="L9" s="8">
        <v>1.534</v>
      </c>
      <c r="M9" s="8">
        <v>1.411</v>
      </c>
      <c r="N9" s="8">
        <v>1.411</v>
      </c>
      <c r="O9" s="8">
        <f t="shared" si="0"/>
        <v>1.534</v>
      </c>
      <c r="P9" s="8">
        <f t="shared" si="1"/>
        <v>1.411</v>
      </c>
      <c r="Q9" s="8">
        <f t="shared" si="2"/>
        <v>1.411</v>
      </c>
    </row>
    <row r="10" spans="1:22" x14ac:dyDescent="0.25">
      <c r="A10">
        <v>36</v>
      </c>
      <c r="B10">
        <v>1</v>
      </c>
      <c r="C10" s="3" t="s">
        <v>53</v>
      </c>
      <c r="D10" s="3" t="s">
        <v>54</v>
      </c>
      <c r="E10">
        <f t="shared" si="3"/>
        <v>3000</v>
      </c>
      <c r="F10" t="s">
        <v>55</v>
      </c>
      <c r="J10" t="s">
        <v>49</v>
      </c>
      <c r="L10" s="8">
        <v>1.21</v>
      </c>
      <c r="M10" s="8">
        <v>1</v>
      </c>
      <c r="N10" s="8">
        <v>0.81899999999999995</v>
      </c>
      <c r="O10" s="8">
        <f t="shared" si="0"/>
        <v>1.21</v>
      </c>
      <c r="P10" s="8">
        <f t="shared" si="1"/>
        <v>1</v>
      </c>
      <c r="Q10" s="8">
        <f t="shared" si="2"/>
        <v>0.81899999999999995</v>
      </c>
    </row>
    <row r="11" spans="1:22" x14ac:dyDescent="0.25">
      <c r="A11">
        <v>34</v>
      </c>
      <c r="B11">
        <v>1</v>
      </c>
      <c r="C11" s="3" t="s">
        <v>46</v>
      </c>
      <c r="D11" s="3" t="s">
        <v>47</v>
      </c>
      <c r="E11">
        <f t="shared" si="3"/>
        <v>3000</v>
      </c>
      <c r="F11" t="s">
        <v>48</v>
      </c>
      <c r="J11" t="s">
        <v>49</v>
      </c>
      <c r="L11" s="8">
        <v>1.06</v>
      </c>
      <c r="M11" s="8">
        <v>0.90600000000000003</v>
      </c>
      <c r="N11" s="8">
        <v>0.77</v>
      </c>
      <c r="O11" s="8">
        <f t="shared" si="0"/>
        <v>1.06</v>
      </c>
      <c r="P11" s="8">
        <f t="shared" si="1"/>
        <v>0.90600000000000003</v>
      </c>
      <c r="Q11" s="8">
        <f t="shared" si="2"/>
        <v>0.77</v>
      </c>
    </row>
    <row r="12" spans="1:22" x14ac:dyDescent="0.25">
      <c r="A12">
        <v>40</v>
      </c>
      <c r="B12">
        <v>1</v>
      </c>
      <c r="C12" s="3" t="s">
        <v>68</v>
      </c>
      <c r="D12" s="3" t="s">
        <v>69</v>
      </c>
      <c r="E12">
        <f t="shared" si="3"/>
        <v>3000</v>
      </c>
      <c r="F12" t="s">
        <v>70</v>
      </c>
      <c r="J12" t="s">
        <v>42</v>
      </c>
      <c r="L12" s="8">
        <v>1.05</v>
      </c>
      <c r="M12" s="8">
        <v>0.77100000000000002</v>
      </c>
      <c r="N12" s="8">
        <v>0.59599999999999997</v>
      </c>
      <c r="O12" s="8">
        <f t="shared" si="0"/>
        <v>1.05</v>
      </c>
      <c r="P12" s="8">
        <f t="shared" si="1"/>
        <v>0.77100000000000002</v>
      </c>
      <c r="Q12" s="8">
        <f t="shared" si="2"/>
        <v>0.59599999999999997</v>
      </c>
      <c r="T12" s="16">
        <f>P12</f>
        <v>0.77100000000000002</v>
      </c>
    </row>
    <row r="13" spans="1:22" x14ac:dyDescent="0.25">
      <c r="A13">
        <v>44</v>
      </c>
      <c r="B13">
        <v>1</v>
      </c>
      <c r="C13" s="3" t="s">
        <v>91</v>
      </c>
      <c r="D13" s="3" t="s">
        <v>113</v>
      </c>
      <c r="E13">
        <f t="shared" si="3"/>
        <v>3000</v>
      </c>
      <c r="L13" s="8">
        <v>0.92700000000000005</v>
      </c>
      <c r="M13" s="8">
        <v>0.69299999999999995</v>
      </c>
      <c r="N13" s="8">
        <v>0.65800000000000003</v>
      </c>
      <c r="O13" s="8">
        <f t="shared" si="0"/>
        <v>0.92700000000000005</v>
      </c>
      <c r="P13" s="8">
        <f t="shared" si="1"/>
        <v>0.69299999999999995</v>
      </c>
      <c r="Q13" s="8">
        <f t="shared" si="2"/>
        <v>0.65800000000000003</v>
      </c>
    </row>
    <row r="14" spans="1:22" x14ac:dyDescent="0.25">
      <c r="A14">
        <v>46</v>
      </c>
      <c r="B14">
        <v>1</v>
      </c>
      <c r="C14" s="3" t="s">
        <v>93</v>
      </c>
      <c r="E14">
        <f t="shared" si="3"/>
        <v>3000</v>
      </c>
      <c r="L14" s="8">
        <f>15/$V$1</f>
        <v>0.78947368421052633</v>
      </c>
      <c r="M14" s="8">
        <f>15/$V$1</f>
        <v>0.78947368421052633</v>
      </c>
      <c r="N14" s="8">
        <f>15/$V$1</f>
        <v>0.78947368421052633</v>
      </c>
      <c r="O14" s="8">
        <f t="shared" si="0"/>
        <v>0.78947368421052633</v>
      </c>
      <c r="P14" s="8">
        <f t="shared" si="1"/>
        <v>0.78947368421052633</v>
      </c>
      <c r="Q14" s="8">
        <f t="shared" si="2"/>
        <v>0.78947368421052633</v>
      </c>
    </row>
    <row r="15" spans="1:22" x14ac:dyDescent="0.25">
      <c r="A15">
        <v>9</v>
      </c>
      <c r="B15">
        <v>2</v>
      </c>
      <c r="C15" s="3" t="s">
        <v>83</v>
      </c>
      <c r="D15" s="3" t="s">
        <v>108</v>
      </c>
      <c r="E15">
        <f t="shared" si="3"/>
        <v>6000</v>
      </c>
      <c r="F15" t="s">
        <v>108</v>
      </c>
      <c r="J15" t="s">
        <v>17</v>
      </c>
      <c r="L15" s="8">
        <v>0.371</v>
      </c>
      <c r="M15" s="8">
        <v>0.27700000000000002</v>
      </c>
      <c r="N15" s="8">
        <v>0.16800000000000001</v>
      </c>
      <c r="O15" s="8">
        <f t="shared" si="0"/>
        <v>0.74199999999999999</v>
      </c>
      <c r="P15" s="8">
        <f t="shared" si="1"/>
        <v>0.55400000000000005</v>
      </c>
      <c r="Q15" s="8">
        <f t="shared" si="2"/>
        <v>0.33600000000000002</v>
      </c>
      <c r="T15" s="16">
        <f>P15</f>
        <v>0.55400000000000005</v>
      </c>
    </row>
    <row r="16" spans="1:22" x14ac:dyDescent="0.25">
      <c r="A16">
        <v>43</v>
      </c>
      <c r="B16">
        <v>1</v>
      </c>
      <c r="C16" s="3" t="s">
        <v>77</v>
      </c>
      <c r="D16" s="3" t="s">
        <v>78</v>
      </c>
      <c r="E16">
        <f t="shared" si="3"/>
        <v>3000</v>
      </c>
      <c r="F16" t="s">
        <v>78</v>
      </c>
      <c r="J16" t="s">
        <v>79</v>
      </c>
      <c r="L16" s="8">
        <v>0.80100000000000005</v>
      </c>
      <c r="M16" s="8">
        <v>0.624</v>
      </c>
      <c r="N16" s="8">
        <v>0.40699999999999997</v>
      </c>
      <c r="O16" s="8">
        <f t="shared" si="0"/>
        <v>0.80100000000000005</v>
      </c>
      <c r="P16" s="8">
        <f t="shared" si="1"/>
        <v>0.624</v>
      </c>
      <c r="Q16" s="8">
        <f t="shared" si="2"/>
        <v>0.40699999999999997</v>
      </c>
      <c r="T16" s="16">
        <f>P16</f>
        <v>0.624</v>
      </c>
    </row>
    <row r="17" spans="1:20" x14ac:dyDescent="0.25">
      <c r="A17">
        <v>1</v>
      </c>
      <c r="B17">
        <v>1</v>
      </c>
      <c r="C17" s="3" t="s">
        <v>9</v>
      </c>
      <c r="D17" s="3" t="s">
        <v>10</v>
      </c>
      <c r="E17">
        <f t="shared" si="3"/>
        <v>3000</v>
      </c>
      <c r="F17" t="s">
        <v>10</v>
      </c>
      <c r="J17" t="s">
        <v>11</v>
      </c>
      <c r="L17" s="8">
        <v>0.79500000000000004</v>
      </c>
      <c r="M17" s="8">
        <v>0.65300000000000002</v>
      </c>
      <c r="N17" s="8">
        <v>0.52600000000000002</v>
      </c>
      <c r="O17" s="8">
        <f t="shared" si="0"/>
        <v>0.79500000000000004</v>
      </c>
      <c r="P17" s="8">
        <f t="shared" si="1"/>
        <v>0.65300000000000002</v>
      </c>
      <c r="Q17" s="8">
        <f t="shared" si="2"/>
        <v>0.52600000000000002</v>
      </c>
    </row>
    <row r="18" spans="1:20" x14ac:dyDescent="0.25">
      <c r="A18">
        <v>18</v>
      </c>
      <c r="B18">
        <v>1</v>
      </c>
      <c r="C18" s="3" t="s">
        <v>36</v>
      </c>
      <c r="D18" s="3" t="s">
        <v>37</v>
      </c>
      <c r="E18">
        <f t="shared" si="3"/>
        <v>3000</v>
      </c>
      <c r="F18" t="s">
        <v>38</v>
      </c>
      <c r="J18" s="12" t="s">
        <v>112</v>
      </c>
      <c r="L18" s="8">
        <v>0.53500000000000003</v>
      </c>
      <c r="M18" s="8">
        <v>0.48299999999999998</v>
      </c>
      <c r="N18" s="8">
        <v>0.32500000000000001</v>
      </c>
      <c r="O18" s="8">
        <f t="shared" si="0"/>
        <v>0.53500000000000003</v>
      </c>
      <c r="P18" s="8">
        <f t="shared" si="1"/>
        <v>0.48299999999999998</v>
      </c>
      <c r="Q18" s="8">
        <f t="shared" si="2"/>
        <v>0.32500000000000001</v>
      </c>
    </row>
    <row r="19" spans="1:20" x14ac:dyDescent="0.25">
      <c r="A19" s="13">
        <v>19</v>
      </c>
      <c r="B19" s="13">
        <v>3</v>
      </c>
      <c r="C19" s="14" t="s">
        <v>85</v>
      </c>
      <c r="D19" s="14" t="s">
        <v>39</v>
      </c>
      <c r="E19">
        <f t="shared" si="3"/>
        <v>9000</v>
      </c>
      <c r="F19" s="13" t="s">
        <v>39</v>
      </c>
      <c r="G19" s="13"/>
      <c r="H19" s="13"/>
      <c r="I19" s="13"/>
      <c r="J19" s="13" t="s">
        <v>40</v>
      </c>
      <c r="K19" s="13"/>
      <c r="L19" s="15">
        <v>0.48399999999999999</v>
      </c>
      <c r="M19" s="15">
        <v>0.374</v>
      </c>
      <c r="N19" s="15">
        <v>0.31900000000000001</v>
      </c>
      <c r="O19" s="15">
        <f t="shared" si="0"/>
        <v>1.452</v>
      </c>
      <c r="P19" s="15">
        <f t="shared" si="1"/>
        <v>1.1219999999999999</v>
      </c>
      <c r="Q19" s="15">
        <f t="shared" si="2"/>
        <v>0.95700000000000007</v>
      </c>
      <c r="R19" s="16">
        <f>Q19</f>
        <v>0.95700000000000007</v>
      </c>
    </row>
    <row r="20" spans="1:20" x14ac:dyDescent="0.25">
      <c r="A20">
        <v>17</v>
      </c>
      <c r="B20">
        <v>1</v>
      </c>
      <c r="C20" s="3" t="s">
        <v>32</v>
      </c>
      <c r="D20" s="3" t="s">
        <v>33</v>
      </c>
      <c r="E20">
        <f t="shared" si="3"/>
        <v>3000</v>
      </c>
      <c r="F20" t="s">
        <v>34</v>
      </c>
      <c r="J20" t="s">
        <v>35</v>
      </c>
      <c r="L20" s="8">
        <v>0.40699999999999997</v>
      </c>
      <c r="M20" s="8">
        <v>0.32500000000000001</v>
      </c>
      <c r="N20" s="8">
        <v>0.221</v>
      </c>
      <c r="O20" s="8">
        <f t="shared" si="0"/>
        <v>0.40699999999999997</v>
      </c>
      <c r="P20" s="8">
        <f t="shared" si="1"/>
        <v>0.32500000000000001</v>
      </c>
      <c r="Q20" s="8">
        <f t="shared" si="2"/>
        <v>0.221</v>
      </c>
      <c r="T20" s="16">
        <f>P20</f>
        <v>0.32500000000000001</v>
      </c>
    </row>
    <row r="21" spans="1:20" x14ac:dyDescent="0.25">
      <c r="A21">
        <v>37</v>
      </c>
      <c r="B21">
        <v>1</v>
      </c>
      <c r="C21" s="3" t="s">
        <v>56</v>
      </c>
      <c r="D21" s="3" t="s">
        <v>57</v>
      </c>
      <c r="E21">
        <f t="shared" si="3"/>
        <v>3000</v>
      </c>
      <c r="F21" t="s">
        <v>58</v>
      </c>
      <c r="J21" t="s">
        <v>59</v>
      </c>
      <c r="L21" s="8">
        <v>0.376</v>
      </c>
      <c r="M21" s="8">
        <v>0.30499999999999999</v>
      </c>
      <c r="N21" s="8">
        <v>0.247</v>
      </c>
      <c r="O21" s="8">
        <f t="shared" si="0"/>
        <v>0.376</v>
      </c>
      <c r="P21" s="8">
        <f t="shared" si="1"/>
        <v>0.30499999999999999</v>
      </c>
      <c r="Q21" s="8">
        <f t="shared" si="2"/>
        <v>0.247</v>
      </c>
    </row>
    <row r="22" spans="1:20" x14ac:dyDescent="0.25">
      <c r="A22" s="13">
        <v>20</v>
      </c>
      <c r="B22" s="13">
        <v>2</v>
      </c>
      <c r="C22" s="14" t="s">
        <v>86</v>
      </c>
      <c r="D22" s="14" t="s">
        <v>41</v>
      </c>
      <c r="E22">
        <f t="shared" si="3"/>
        <v>6000</v>
      </c>
      <c r="F22" s="13" t="s">
        <v>41</v>
      </c>
      <c r="G22" s="13"/>
      <c r="H22" s="13"/>
      <c r="I22" s="13"/>
      <c r="J22" s="13" t="s">
        <v>42</v>
      </c>
      <c r="K22" s="13"/>
      <c r="L22" s="15">
        <v>0.35699999999999998</v>
      </c>
      <c r="M22" s="15">
        <v>0.222</v>
      </c>
      <c r="N22" s="15">
        <v>0.11700000000000001</v>
      </c>
      <c r="O22" s="15">
        <f t="shared" si="0"/>
        <v>0.71399999999999997</v>
      </c>
      <c r="P22" s="15">
        <f t="shared" si="1"/>
        <v>0.44400000000000001</v>
      </c>
      <c r="Q22" s="15">
        <f t="shared" si="2"/>
        <v>0.23400000000000001</v>
      </c>
      <c r="R22" s="16">
        <f>Q22</f>
        <v>0.23400000000000001</v>
      </c>
    </row>
    <row r="23" spans="1:20" x14ac:dyDescent="0.25">
      <c r="A23">
        <v>15</v>
      </c>
      <c r="B23">
        <v>1</v>
      </c>
      <c r="C23" s="3" t="s">
        <v>24</v>
      </c>
      <c r="D23" s="3">
        <v>1757268</v>
      </c>
      <c r="E23">
        <f t="shared" si="3"/>
        <v>3000</v>
      </c>
      <c r="F23" t="s">
        <v>25</v>
      </c>
      <c r="J23" t="s">
        <v>26</v>
      </c>
      <c r="L23" s="8">
        <v>0.35299999999999998</v>
      </c>
      <c r="M23" s="8">
        <v>0.30599999999999999</v>
      </c>
      <c r="N23" s="8">
        <v>0.246</v>
      </c>
      <c r="O23" s="8">
        <f t="shared" si="0"/>
        <v>0.35299999999999998</v>
      </c>
      <c r="P23" s="8">
        <f t="shared" si="1"/>
        <v>0.30599999999999999</v>
      </c>
      <c r="Q23" s="8">
        <f t="shared" si="2"/>
        <v>0.246</v>
      </c>
      <c r="T23" s="16">
        <f>P23</f>
        <v>0.30599999999999999</v>
      </c>
    </row>
    <row r="24" spans="1:20" x14ac:dyDescent="0.25">
      <c r="A24">
        <v>16</v>
      </c>
      <c r="B24">
        <v>1</v>
      </c>
      <c r="C24" s="3" t="s">
        <v>27</v>
      </c>
      <c r="D24" s="3" t="s">
        <v>114</v>
      </c>
      <c r="E24">
        <f t="shared" si="3"/>
        <v>3000</v>
      </c>
      <c r="F24" t="s">
        <v>28</v>
      </c>
      <c r="G24" t="s">
        <v>29</v>
      </c>
      <c r="J24" t="s">
        <v>30</v>
      </c>
      <c r="K24" t="s">
        <v>31</v>
      </c>
      <c r="L24" s="8">
        <v>0.28699999999999998</v>
      </c>
      <c r="M24" s="8">
        <v>0.24</v>
      </c>
      <c r="N24" s="8">
        <v>0.17299999999999999</v>
      </c>
      <c r="O24" s="8">
        <f t="shared" si="0"/>
        <v>0.28699999999999998</v>
      </c>
      <c r="P24" s="8">
        <f t="shared" si="1"/>
        <v>0.24</v>
      </c>
      <c r="Q24" s="8">
        <f t="shared" si="2"/>
        <v>0.17299999999999999</v>
      </c>
      <c r="T24" s="16">
        <f>P24</f>
        <v>0.24</v>
      </c>
    </row>
    <row r="25" spans="1:20" x14ac:dyDescent="0.25">
      <c r="A25">
        <v>13</v>
      </c>
      <c r="B25">
        <v>1</v>
      </c>
      <c r="C25" s="3" t="s">
        <v>21</v>
      </c>
      <c r="D25" t="s">
        <v>22</v>
      </c>
      <c r="E25">
        <f t="shared" si="3"/>
        <v>3000</v>
      </c>
      <c r="J25" t="s">
        <v>23</v>
      </c>
      <c r="L25" s="8">
        <v>0.247</v>
      </c>
      <c r="M25" s="8">
        <v>0.192</v>
      </c>
      <c r="N25" s="8">
        <v>0.13700000000000001</v>
      </c>
      <c r="O25" s="8">
        <f t="shared" si="0"/>
        <v>0.247</v>
      </c>
      <c r="P25" s="8">
        <f t="shared" si="1"/>
        <v>0.192</v>
      </c>
      <c r="Q25" s="8">
        <f t="shared" si="2"/>
        <v>0.13700000000000001</v>
      </c>
    </row>
    <row r="26" spans="1:20" x14ac:dyDescent="0.25">
      <c r="A26">
        <v>5</v>
      </c>
      <c r="B26">
        <v>1</v>
      </c>
      <c r="C26" s="3" t="s">
        <v>13</v>
      </c>
      <c r="D26" s="12" t="s">
        <v>118</v>
      </c>
      <c r="E26">
        <f t="shared" si="3"/>
        <v>3000</v>
      </c>
      <c r="L26" s="8">
        <v>0.215</v>
      </c>
      <c r="M26" s="8">
        <v>0.123</v>
      </c>
      <c r="N26" s="8">
        <v>8.5999999999999993E-2</v>
      </c>
      <c r="O26" s="8">
        <f t="shared" si="0"/>
        <v>0.215</v>
      </c>
      <c r="P26" s="8">
        <f t="shared" si="1"/>
        <v>0.123</v>
      </c>
      <c r="Q26" s="8">
        <f t="shared" si="2"/>
        <v>8.5999999999999993E-2</v>
      </c>
      <c r="T26" s="16">
        <f>P26</f>
        <v>0.123</v>
      </c>
    </row>
    <row r="27" spans="1:20" x14ac:dyDescent="0.25">
      <c r="A27">
        <v>21</v>
      </c>
      <c r="B27">
        <v>1</v>
      </c>
      <c r="C27" s="3" t="s">
        <v>43</v>
      </c>
      <c r="D27" s="3" t="s">
        <v>44</v>
      </c>
      <c r="E27">
        <f t="shared" si="3"/>
        <v>3000</v>
      </c>
      <c r="F27" t="s">
        <v>44</v>
      </c>
      <c r="J27" t="s">
        <v>45</v>
      </c>
      <c r="L27" s="8">
        <v>0.20899999999999999</v>
      </c>
      <c r="M27" s="8">
        <v>0.114</v>
      </c>
      <c r="N27" s="8">
        <v>4.8000000000000001E-2</v>
      </c>
      <c r="O27" s="8">
        <f t="shared" si="0"/>
        <v>0.20899999999999999</v>
      </c>
      <c r="P27" s="8">
        <f t="shared" si="1"/>
        <v>0.114</v>
      </c>
      <c r="Q27" s="8">
        <f t="shared" si="2"/>
        <v>4.8000000000000001E-2</v>
      </c>
    </row>
    <row r="28" spans="1:20" x14ac:dyDescent="0.25">
      <c r="A28">
        <v>48</v>
      </c>
      <c r="B28">
        <v>4</v>
      </c>
      <c r="C28" s="3" t="s">
        <v>95</v>
      </c>
      <c r="E28">
        <f t="shared" si="3"/>
        <v>12000</v>
      </c>
      <c r="L28" s="8">
        <f>O58</f>
        <v>1.5499999999999998</v>
      </c>
      <c r="M28" s="8">
        <f>P58</f>
        <v>1.1463999999999999</v>
      </c>
      <c r="N28" s="8">
        <f>Q58</f>
        <v>0.83450000000000002</v>
      </c>
      <c r="O28" s="8">
        <f t="shared" si="0"/>
        <v>6.1999999999999993</v>
      </c>
      <c r="P28" s="8">
        <f t="shared" si="1"/>
        <v>4.5855999999999995</v>
      </c>
      <c r="Q28" s="8">
        <f t="shared" si="2"/>
        <v>3.3380000000000001</v>
      </c>
      <c r="R28" s="16">
        <f>N28*3</f>
        <v>2.5034999999999998</v>
      </c>
    </row>
    <row r="29" spans="1:20" x14ac:dyDescent="0.25">
      <c r="A29">
        <v>6</v>
      </c>
      <c r="B29">
        <v>2</v>
      </c>
      <c r="C29" s="3" t="s">
        <v>82</v>
      </c>
      <c r="D29" s="12" t="s">
        <v>116</v>
      </c>
      <c r="E29">
        <f t="shared" si="3"/>
        <v>6000</v>
      </c>
      <c r="L29" s="8">
        <v>0.183</v>
      </c>
      <c r="M29" s="8">
        <v>0.105</v>
      </c>
      <c r="N29" s="8">
        <v>7.2999999999999995E-2</v>
      </c>
      <c r="O29" s="8">
        <f t="shared" si="0"/>
        <v>0.36599999999999999</v>
      </c>
      <c r="P29" s="8">
        <f t="shared" si="1"/>
        <v>0.21</v>
      </c>
      <c r="Q29" s="8">
        <f t="shared" si="2"/>
        <v>0.14599999999999999</v>
      </c>
      <c r="T29" s="16">
        <f>P29</f>
        <v>0.21</v>
      </c>
    </row>
    <row r="30" spans="1:20" x14ac:dyDescent="0.25">
      <c r="A30">
        <v>8</v>
      </c>
      <c r="B30">
        <v>1</v>
      </c>
      <c r="C30" s="3" t="s">
        <v>15</v>
      </c>
      <c r="D30" t="s">
        <v>16</v>
      </c>
      <c r="E30">
        <f t="shared" si="3"/>
        <v>3000</v>
      </c>
      <c r="F30" t="s">
        <v>16</v>
      </c>
      <c r="J30" t="s">
        <v>17</v>
      </c>
      <c r="L30" s="8">
        <v>0.17199999999999999</v>
      </c>
      <c r="M30" s="8">
        <v>9.4E-2</v>
      </c>
      <c r="N30" s="8">
        <v>0.04</v>
      </c>
      <c r="O30" s="8">
        <f t="shared" si="0"/>
        <v>0.17199999999999999</v>
      </c>
      <c r="P30" s="8">
        <f t="shared" si="1"/>
        <v>9.4E-2</v>
      </c>
      <c r="Q30" s="8">
        <f t="shared" si="2"/>
        <v>0.04</v>
      </c>
    </row>
    <row r="31" spans="1:20" x14ac:dyDescent="0.25">
      <c r="A31">
        <v>10</v>
      </c>
      <c r="B31">
        <v>6</v>
      </c>
      <c r="C31" s="3" t="s">
        <v>84</v>
      </c>
      <c r="D31" s="3" t="s">
        <v>18</v>
      </c>
      <c r="E31">
        <f t="shared" si="3"/>
        <v>18000</v>
      </c>
      <c r="F31" t="s">
        <v>19</v>
      </c>
      <c r="J31" t="s">
        <v>20</v>
      </c>
      <c r="L31" s="8">
        <v>0.13300000000000001</v>
      </c>
      <c r="M31" s="8">
        <v>0.123</v>
      </c>
      <c r="N31" s="8">
        <v>9.7000000000000003E-2</v>
      </c>
      <c r="O31" s="8">
        <f t="shared" si="0"/>
        <v>0.79800000000000004</v>
      </c>
      <c r="P31" s="8">
        <f t="shared" si="1"/>
        <v>0.73799999999999999</v>
      </c>
      <c r="Q31" s="8">
        <f t="shared" si="2"/>
        <v>0.58200000000000007</v>
      </c>
      <c r="T31" s="16">
        <f>P31</f>
        <v>0.73799999999999999</v>
      </c>
    </row>
    <row r="32" spans="1:20" x14ac:dyDescent="0.25">
      <c r="A32">
        <v>4</v>
      </c>
      <c r="B32">
        <v>1</v>
      </c>
      <c r="C32" s="3" t="s">
        <v>12</v>
      </c>
      <c r="D32" s="12" t="s">
        <v>117</v>
      </c>
      <c r="E32">
        <f t="shared" si="3"/>
        <v>3000</v>
      </c>
      <c r="L32" s="8">
        <v>0.08</v>
      </c>
      <c r="M32" s="8">
        <v>3.7999999999999999E-2</v>
      </c>
      <c r="N32" s="8">
        <v>2.7E-2</v>
      </c>
      <c r="O32" s="8">
        <f t="shared" si="0"/>
        <v>0.08</v>
      </c>
      <c r="P32" s="8">
        <f t="shared" si="1"/>
        <v>3.7999999999999999E-2</v>
      </c>
      <c r="Q32" s="8">
        <f t="shared" si="2"/>
        <v>2.7E-2</v>
      </c>
      <c r="T32" s="16">
        <f>3.07*4</f>
        <v>12.28</v>
      </c>
    </row>
    <row r="33" spans="1:20" x14ac:dyDescent="0.25">
      <c r="A33">
        <v>2</v>
      </c>
      <c r="B33">
        <v>4</v>
      </c>
      <c r="C33" s="3" t="s">
        <v>80</v>
      </c>
      <c r="D33" s="12" t="s">
        <v>119</v>
      </c>
      <c r="E33">
        <f t="shared" si="3"/>
        <v>12000</v>
      </c>
      <c r="L33" s="8">
        <v>7.0000000000000007E-2</v>
      </c>
      <c r="M33" s="8">
        <v>5.6000000000000001E-2</v>
      </c>
      <c r="N33" s="8">
        <v>3.7999999999999999E-2</v>
      </c>
      <c r="O33" s="8">
        <f t="shared" si="0"/>
        <v>0.28000000000000003</v>
      </c>
      <c r="P33" s="8">
        <f t="shared" si="1"/>
        <v>0.224</v>
      </c>
      <c r="Q33" s="8">
        <f t="shared" si="2"/>
        <v>0.152</v>
      </c>
    </row>
    <row r="34" spans="1:20" x14ac:dyDescent="0.25">
      <c r="A34">
        <v>7</v>
      </c>
      <c r="B34">
        <v>1</v>
      </c>
      <c r="C34" s="3" t="s">
        <v>14</v>
      </c>
      <c r="D34" s="12" t="s">
        <v>120</v>
      </c>
      <c r="E34">
        <f t="shared" si="3"/>
        <v>3000</v>
      </c>
      <c r="L34" s="8">
        <v>6.2E-2</v>
      </c>
      <c r="M34" s="8">
        <v>2.7E-2</v>
      </c>
      <c r="N34" s="8">
        <v>1.7000000000000001E-2</v>
      </c>
      <c r="O34" s="8">
        <f t="shared" si="0"/>
        <v>6.2E-2</v>
      </c>
      <c r="P34" s="8">
        <f t="shared" si="1"/>
        <v>2.7E-2</v>
      </c>
      <c r="Q34" s="8">
        <f t="shared" si="2"/>
        <v>1.7000000000000001E-2</v>
      </c>
    </row>
    <row r="35" spans="1:20" x14ac:dyDescent="0.25">
      <c r="A35">
        <v>22</v>
      </c>
      <c r="B35">
        <v>4</v>
      </c>
      <c r="C35" s="3" t="s">
        <v>87</v>
      </c>
      <c r="D35" s="3" t="s">
        <v>121</v>
      </c>
      <c r="E35">
        <f t="shared" si="3"/>
        <v>12000</v>
      </c>
      <c r="L35" s="8">
        <v>4.1000000000000002E-2</v>
      </c>
      <c r="M35" s="8">
        <v>1.6E-2</v>
      </c>
      <c r="N35" s="8">
        <v>8.0000000000000002E-3</v>
      </c>
      <c r="O35" s="8">
        <f t="shared" si="0"/>
        <v>0.16400000000000001</v>
      </c>
      <c r="P35" s="8">
        <f t="shared" si="1"/>
        <v>6.4000000000000001E-2</v>
      </c>
      <c r="Q35" s="8">
        <f t="shared" si="2"/>
        <v>3.2000000000000001E-2</v>
      </c>
    </row>
    <row r="36" spans="1:20" x14ac:dyDescent="0.25">
      <c r="A36">
        <v>23</v>
      </c>
      <c r="B36">
        <v>2</v>
      </c>
      <c r="C36" s="4" t="s">
        <v>115</v>
      </c>
      <c r="D36" s="3" t="s">
        <v>122</v>
      </c>
      <c r="E36">
        <f t="shared" si="3"/>
        <v>6000</v>
      </c>
      <c r="L36" s="8">
        <v>4.1000000000000002E-2</v>
      </c>
      <c r="M36" s="8">
        <v>1.6E-2</v>
      </c>
      <c r="N36" s="8">
        <v>8.0000000000000002E-3</v>
      </c>
      <c r="O36" s="8">
        <f t="shared" si="0"/>
        <v>8.2000000000000003E-2</v>
      </c>
      <c r="P36" s="8">
        <f t="shared" si="1"/>
        <v>3.2000000000000001E-2</v>
      </c>
      <c r="Q36" s="8">
        <f t="shared" si="2"/>
        <v>1.6E-2</v>
      </c>
    </row>
    <row r="37" spans="1:20" x14ac:dyDescent="0.25">
      <c r="A37">
        <v>24</v>
      </c>
      <c r="B37">
        <v>4</v>
      </c>
      <c r="C37" s="3" t="s">
        <v>88</v>
      </c>
      <c r="D37" s="3" t="s">
        <v>123</v>
      </c>
      <c r="E37">
        <f t="shared" si="3"/>
        <v>12000</v>
      </c>
      <c r="L37" s="8">
        <v>4.1000000000000002E-2</v>
      </c>
      <c r="M37" s="8">
        <v>1.6E-2</v>
      </c>
      <c r="N37" s="8">
        <v>8.0000000000000002E-3</v>
      </c>
      <c r="O37" s="8">
        <f t="shared" si="0"/>
        <v>0.16400000000000001</v>
      </c>
      <c r="P37" s="8">
        <f t="shared" si="1"/>
        <v>6.4000000000000001E-2</v>
      </c>
      <c r="Q37" s="8">
        <f t="shared" si="2"/>
        <v>3.2000000000000001E-2</v>
      </c>
    </row>
    <row r="38" spans="1:20" x14ac:dyDescent="0.25">
      <c r="A38">
        <v>25</v>
      </c>
      <c r="B38">
        <v>1</v>
      </c>
      <c r="C38" s="4">
        <v>8</v>
      </c>
      <c r="D38" s="3" t="s">
        <v>124</v>
      </c>
      <c r="E38">
        <f t="shared" si="3"/>
        <v>3000</v>
      </c>
      <c r="L38" s="8">
        <v>4.1000000000000002E-2</v>
      </c>
      <c r="M38" s="8">
        <v>1.6E-2</v>
      </c>
      <c r="N38" s="8">
        <v>8.0000000000000002E-3</v>
      </c>
      <c r="O38" s="8">
        <f t="shared" si="0"/>
        <v>4.1000000000000002E-2</v>
      </c>
      <c r="P38" s="8">
        <f t="shared" si="1"/>
        <v>1.6E-2</v>
      </c>
      <c r="Q38" s="8">
        <f t="shared" si="2"/>
        <v>8.0000000000000002E-3</v>
      </c>
    </row>
    <row r="39" spans="1:20" x14ac:dyDescent="0.25">
      <c r="A39">
        <v>26</v>
      </c>
      <c r="B39">
        <v>2</v>
      </c>
      <c r="C39" s="3" t="s">
        <v>89</v>
      </c>
      <c r="D39" s="12" t="s">
        <v>125</v>
      </c>
      <c r="E39">
        <f t="shared" si="3"/>
        <v>6000</v>
      </c>
      <c r="L39" s="8">
        <v>4.1000000000000002E-2</v>
      </c>
      <c r="M39" s="8">
        <v>1.6E-2</v>
      </c>
      <c r="N39" s="8">
        <v>8.0000000000000002E-3</v>
      </c>
      <c r="O39" s="8">
        <f t="shared" si="0"/>
        <v>8.2000000000000003E-2</v>
      </c>
      <c r="P39" s="8">
        <f t="shared" si="1"/>
        <v>3.2000000000000001E-2</v>
      </c>
      <c r="Q39" s="8">
        <f t="shared" si="2"/>
        <v>1.6E-2</v>
      </c>
    </row>
    <row r="40" spans="1:20" x14ac:dyDescent="0.25">
      <c r="A40">
        <v>27</v>
      </c>
      <c r="B40">
        <v>1</v>
      </c>
      <c r="C40" s="4">
        <v>10</v>
      </c>
      <c r="D40" s="12" t="s">
        <v>126</v>
      </c>
      <c r="E40">
        <f t="shared" si="3"/>
        <v>3000</v>
      </c>
      <c r="L40" s="8">
        <v>4.1000000000000002E-2</v>
      </c>
      <c r="M40" s="8">
        <v>1.6E-2</v>
      </c>
      <c r="N40" s="8">
        <v>8.0000000000000002E-3</v>
      </c>
      <c r="O40" s="8">
        <f t="shared" si="0"/>
        <v>4.1000000000000002E-2</v>
      </c>
      <c r="P40" s="8">
        <f t="shared" si="1"/>
        <v>1.6E-2</v>
      </c>
      <c r="Q40" s="8">
        <f t="shared" si="2"/>
        <v>8.0000000000000002E-3</v>
      </c>
    </row>
    <row r="41" spans="1:20" x14ac:dyDescent="0.25">
      <c r="A41">
        <v>28</v>
      </c>
      <c r="B41">
        <v>1</v>
      </c>
      <c r="C41" s="4">
        <v>14</v>
      </c>
      <c r="D41" s="12" t="s">
        <v>127</v>
      </c>
      <c r="E41">
        <f t="shared" si="3"/>
        <v>3000</v>
      </c>
      <c r="L41" s="8">
        <v>4.1000000000000002E-2</v>
      </c>
      <c r="M41" s="8">
        <v>1.6E-2</v>
      </c>
      <c r="N41" s="8">
        <v>8.0000000000000002E-3</v>
      </c>
      <c r="O41" s="8">
        <f t="shared" si="0"/>
        <v>4.1000000000000002E-2</v>
      </c>
      <c r="P41" s="8">
        <f t="shared" si="1"/>
        <v>1.6E-2</v>
      </c>
      <c r="Q41" s="8">
        <f t="shared" si="2"/>
        <v>8.0000000000000002E-3</v>
      </c>
    </row>
    <row r="42" spans="1:20" x14ac:dyDescent="0.25">
      <c r="A42">
        <v>29</v>
      </c>
      <c r="B42">
        <v>2</v>
      </c>
      <c r="C42" s="3" t="s">
        <v>90</v>
      </c>
      <c r="D42" s="3" t="s">
        <v>128</v>
      </c>
      <c r="E42">
        <f t="shared" si="3"/>
        <v>6000</v>
      </c>
      <c r="L42" s="8">
        <v>4.1000000000000002E-2</v>
      </c>
      <c r="M42" s="8">
        <v>1.6E-2</v>
      </c>
      <c r="N42" s="8">
        <v>8.0000000000000002E-3</v>
      </c>
      <c r="O42" s="8">
        <f t="shared" si="0"/>
        <v>8.2000000000000003E-2</v>
      </c>
      <c r="P42" s="8">
        <f t="shared" si="1"/>
        <v>3.2000000000000001E-2</v>
      </c>
      <c r="Q42" s="8">
        <f t="shared" si="2"/>
        <v>1.6E-2</v>
      </c>
    </row>
    <row r="43" spans="1:20" x14ac:dyDescent="0.25">
      <c r="A43">
        <v>30</v>
      </c>
      <c r="B43">
        <v>1</v>
      </c>
      <c r="C43" s="4">
        <v>17</v>
      </c>
      <c r="D43" s="12" t="s">
        <v>129</v>
      </c>
      <c r="E43">
        <f t="shared" si="3"/>
        <v>3000</v>
      </c>
      <c r="L43" s="8">
        <v>4.1000000000000002E-2</v>
      </c>
      <c r="M43" s="8">
        <v>1.6E-2</v>
      </c>
      <c r="N43" s="8">
        <v>8.0000000000000002E-3</v>
      </c>
      <c r="O43" s="8">
        <f t="shared" si="0"/>
        <v>4.1000000000000002E-2</v>
      </c>
      <c r="P43" s="8">
        <f t="shared" si="1"/>
        <v>1.6E-2</v>
      </c>
      <c r="Q43" s="8">
        <f t="shared" si="2"/>
        <v>8.0000000000000002E-3</v>
      </c>
    </row>
    <row r="44" spans="1:20" x14ac:dyDescent="0.25">
      <c r="A44">
        <v>31</v>
      </c>
      <c r="B44">
        <v>1</v>
      </c>
      <c r="C44" s="4">
        <v>18</v>
      </c>
      <c r="D44" s="12" t="s">
        <v>130</v>
      </c>
      <c r="E44">
        <f t="shared" si="3"/>
        <v>3000</v>
      </c>
      <c r="L44" s="8">
        <v>4.1000000000000002E-2</v>
      </c>
      <c r="M44" s="8">
        <v>1.6E-2</v>
      </c>
      <c r="N44" s="8">
        <v>8.0000000000000002E-3</v>
      </c>
      <c r="O44" s="8">
        <f t="shared" si="0"/>
        <v>4.1000000000000002E-2</v>
      </c>
      <c r="P44" s="8">
        <f t="shared" si="1"/>
        <v>1.6E-2</v>
      </c>
      <c r="Q44" s="8">
        <f t="shared" si="2"/>
        <v>8.0000000000000002E-3</v>
      </c>
    </row>
    <row r="45" spans="1:20" x14ac:dyDescent="0.25">
      <c r="A45">
        <v>32</v>
      </c>
      <c r="B45">
        <v>1</v>
      </c>
      <c r="C45" s="4">
        <v>19</v>
      </c>
      <c r="D45" s="12" t="s">
        <v>131</v>
      </c>
      <c r="E45">
        <f t="shared" si="3"/>
        <v>3000</v>
      </c>
      <c r="L45" s="8">
        <v>4.1000000000000002E-2</v>
      </c>
      <c r="M45" s="8">
        <v>1.6E-2</v>
      </c>
      <c r="N45" s="8">
        <v>8.0000000000000002E-3</v>
      </c>
      <c r="O45" s="8">
        <f t="shared" si="0"/>
        <v>4.1000000000000002E-2</v>
      </c>
      <c r="P45" s="8">
        <f t="shared" si="1"/>
        <v>1.6E-2</v>
      </c>
      <c r="Q45" s="8">
        <f t="shared" si="2"/>
        <v>8.0000000000000002E-3</v>
      </c>
    </row>
    <row r="46" spans="1:20" x14ac:dyDescent="0.25">
      <c r="A46">
        <v>33</v>
      </c>
      <c r="B46">
        <v>1</v>
      </c>
      <c r="C46" s="4">
        <v>20</v>
      </c>
      <c r="D46" s="12" t="s">
        <v>132</v>
      </c>
      <c r="E46">
        <f t="shared" si="3"/>
        <v>3000</v>
      </c>
      <c r="L46" s="8">
        <v>4.1000000000000002E-2</v>
      </c>
      <c r="M46" s="8">
        <v>1.6E-2</v>
      </c>
      <c r="N46" s="8">
        <v>8.0000000000000002E-3</v>
      </c>
      <c r="O46" s="8">
        <f t="shared" si="0"/>
        <v>4.1000000000000002E-2</v>
      </c>
      <c r="P46" s="8">
        <f t="shared" si="1"/>
        <v>1.6E-2</v>
      </c>
      <c r="Q46" s="8">
        <f t="shared" si="2"/>
        <v>8.0000000000000002E-3</v>
      </c>
    </row>
    <row r="47" spans="1:20" x14ac:dyDescent="0.25">
      <c r="A47">
        <v>3</v>
      </c>
      <c r="B47">
        <v>4</v>
      </c>
      <c r="C47" s="3" t="s">
        <v>81</v>
      </c>
      <c r="D47" s="12" t="s">
        <v>133</v>
      </c>
      <c r="E47">
        <f t="shared" si="3"/>
        <v>12000</v>
      </c>
      <c r="L47" s="8">
        <v>2.5000000000000001E-2</v>
      </c>
      <c r="M47" s="8">
        <v>1.2999999999999999E-2</v>
      </c>
      <c r="N47" s="8">
        <v>7.0000000000000001E-3</v>
      </c>
      <c r="O47" s="8">
        <f t="shared" si="0"/>
        <v>0.1</v>
      </c>
      <c r="P47" s="8">
        <f t="shared" si="1"/>
        <v>5.1999999999999998E-2</v>
      </c>
      <c r="Q47" s="8">
        <f t="shared" si="2"/>
        <v>2.8000000000000001E-2</v>
      </c>
    </row>
    <row r="48" spans="1:20" ht="15.75" thickBot="1" x14ac:dyDescent="0.3">
      <c r="O48" s="9">
        <f>SUM(O2:O47)</f>
        <v>42.078789473684196</v>
      </c>
      <c r="P48" s="9">
        <f>SUM(P2:P47)</f>
        <v>34.39533684210523</v>
      </c>
      <c r="Q48" s="9">
        <f>SUM(Q2:Q47)</f>
        <v>28.206842105263142</v>
      </c>
      <c r="R48" s="16">
        <f>Q48-SUM(R2:R47)</f>
        <v>24.182342105263142</v>
      </c>
      <c r="T48" s="16">
        <f>SUM(T2:T46)</f>
        <v>20.750999999999998</v>
      </c>
    </row>
    <row r="49" spans="2:20" ht="15.75" thickTop="1" x14ac:dyDescent="0.25"/>
    <row r="50" spans="2:20" x14ac:dyDescent="0.25">
      <c r="O50" s="7">
        <f>O48*$V1</f>
        <v>799.49699999999973</v>
      </c>
      <c r="P50" s="7">
        <f>P48*$V1</f>
        <v>653.51139999999941</v>
      </c>
      <c r="Q50" s="7">
        <f>Q48*$V1</f>
        <v>535.92999999999972</v>
      </c>
      <c r="R50" s="7">
        <f>R48*$V1</f>
        <v>459.4644999999997</v>
      </c>
      <c r="S50" s="7">
        <f>R50/Q50*142</f>
        <v>121.73970294628027</v>
      </c>
      <c r="T50" s="7">
        <f>T48*$V1</f>
        <v>394.26899999999995</v>
      </c>
    </row>
    <row r="51" spans="2:20" x14ac:dyDescent="0.25">
      <c r="C51" s="3" t="s">
        <v>95</v>
      </c>
      <c r="Q51" s="6">
        <f>(Q50+142)*2</f>
        <v>1355.8599999999994</v>
      </c>
      <c r="R51">
        <f>(R50+S50)*2</f>
        <v>1162.40840589256</v>
      </c>
      <c r="T51">
        <f>T50/R50*R51</f>
        <v>997.46900964678218</v>
      </c>
    </row>
    <row r="52" spans="2:20" x14ac:dyDescent="0.25">
      <c r="B52">
        <v>1</v>
      </c>
      <c r="C52" s="3" t="s">
        <v>94</v>
      </c>
      <c r="E52">
        <f t="shared" ref="E52:E57" si="4">B52*$T$1</f>
        <v>3000</v>
      </c>
      <c r="L52" s="8">
        <v>0.1</v>
      </c>
      <c r="M52" s="8">
        <v>7.0000000000000007E-2</v>
      </c>
      <c r="N52" s="8">
        <v>0.05</v>
      </c>
      <c r="O52" s="8">
        <f>L52*$B52</f>
        <v>0.1</v>
      </c>
      <c r="P52" s="8">
        <f>M52*$B52</f>
        <v>7.0000000000000007E-2</v>
      </c>
      <c r="Q52" s="8">
        <f>N52*$B52</f>
        <v>0.05</v>
      </c>
    </row>
    <row r="53" spans="2:20" x14ac:dyDescent="0.25">
      <c r="B53">
        <v>2</v>
      </c>
      <c r="C53" s="3" t="s">
        <v>97</v>
      </c>
      <c r="D53" s="12" t="s">
        <v>134</v>
      </c>
      <c r="E53">
        <f t="shared" si="4"/>
        <v>6000</v>
      </c>
      <c r="F53" t="s">
        <v>105</v>
      </c>
      <c r="J53" t="s">
        <v>106</v>
      </c>
      <c r="L53" s="8">
        <v>1.2999999999999999E-2</v>
      </c>
      <c r="M53" s="8">
        <v>5.8999999999999999E-3</v>
      </c>
      <c r="N53" s="8">
        <v>3.29E-3</v>
      </c>
      <c r="O53" s="8">
        <f t="shared" ref="O53:O57" si="5">L53*$B53</f>
        <v>2.5999999999999999E-2</v>
      </c>
      <c r="P53" s="8">
        <f t="shared" ref="P53:P57" si="6">M53*$B53</f>
        <v>1.18E-2</v>
      </c>
      <c r="Q53" s="8">
        <f t="shared" ref="Q53:Q57" si="7">N53*$B53</f>
        <v>6.5799999999999999E-3</v>
      </c>
      <c r="R53">
        <f>P50*2</f>
        <v>1307.0227999999988</v>
      </c>
      <c r="S53">
        <f>Q50*2</f>
        <v>1071.8599999999994</v>
      </c>
    </row>
    <row r="54" spans="2:20" x14ac:dyDescent="0.25">
      <c r="B54">
        <v>2</v>
      </c>
      <c r="C54" s="3" t="s">
        <v>98</v>
      </c>
      <c r="D54" s="12" t="s">
        <v>135</v>
      </c>
      <c r="E54">
        <f t="shared" si="4"/>
        <v>6000</v>
      </c>
      <c r="F54" t="s">
        <v>103</v>
      </c>
      <c r="J54" t="s">
        <v>104</v>
      </c>
      <c r="L54" s="8">
        <v>1.7999999999999999E-2</v>
      </c>
      <c r="M54" s="8">
        <v>8.0999999999999996E-3</v>
      </c>
      <c r="N54" s="8">
        <v>4.5300000000000002E-3</v>
      </c>
      <c r="O54" s="8">
        <f t="shared" si="5"/>
        <v>3.5999999999999997E-2</v>
      </c>
      <c r="P54" s="8">
        <f t="shared" si="6"/>
        <v>1.6199999999999999E-2</v>
      </c>
      <c r="Q54" s="8">
        <f t="shared" si="7"/>
        <v>9.0600000000000003E-3</v>
      </c>
    </row>
    <row r="55" spans="2:20" x14ac:dyDescent="0.25">
      <c r="B55">
        <v>1</v>
      </c>
      <c r="C55" s="10" t="s">
        <v>99</v>
      </c>
      <c r="D55" s="3" t="s">
        <v>136</v>
      </c>
      <c r="E55">
        <f t="shared" si="4"/>
        <v>3000</v>
      </c>
      <c r="F55" t="s">
        <v>107</v>
      </c>
      <c r="J55" t="s">
        <v>104</v>
      </c>
      <c r="L55" s="8">
        <v>1.6E-2</v>
      </c>
      <c r="M55" s="8">
        <v>6.4000000000000003E-3</v>
      </c>
      <c r="N55" s="8">
        <v>2.8600000000000001E-3</v>
      </c>
      <c r="O55" s="8">
        <f t="shared" si="5"/>
        <v>1.6E-2</v>
      </c>
      <c r="P55" s="8">
        <f t="shared" si="6"/>
        <v>6.4000000000000003E-3</v>
      </c>
      <c r="Q55" s="8">
        <f t="shared" si="7"/>
        <v>2.8600000000000001E-3</v>
      </c>
    </row>
    <row r="56" spans="2:20" x14ac:dyDescent="0.25">
      <c r="B56">
        <v>1</v>
      </c>
      <c r="C56" s="3" t="s">
        <v>56</v>
      </c>
      <c r="D56" s="3" t="s">
        <v>100</v>
      </c>
      <c r="E56">
        <f t="shared" si="4"/>
        <v>3000</v>
      </c>
      <c r="L56" s="8">
        <v>0.74</v>
      </c>
      <c r="M56" s="8">
        <v>0.46</v>
      </c>
      <c r="N56" s="8">
        <v>0.35</v>
      </c>
      <c r="O56" s="8">
        <f t="shared" si="5"/>
        <v>0.74</v>
      </c>
      <c r="P56" s="8">
        <f t="shared" si="6"/>
        <v>0.46</v>
      </c>
      <c r="Q56" s="8">
        <f t="shared" si="7"/>
        <v>0.35</v>
      </c>
    </row>
    <row r="57" spans="2:20" x14ac:dyDescent="0.25">
      <c r="B57">
        <v>2</v>
      </c>
      <c r="C57" s="3" t="s">
        <v>101</v>
      </c>
      <c r="D57" s="3" t="s">
        <v>102</v>
      </c>
      <c r="E57">
        <f t="shared" si="4"/>
        <v>6000</v>
      </c>
      <c r="L57" s="8">
        <v>0.316</v>
      </c>
      <c r="M57" s="8">
        <v>0.29099999999999998</v>
      </c>
      <c r="N57" s="8">
        <v>0.20799999999999999</v>
      </c>
      <c r="O57" s="8">
        <f t="shared" si="5"/>
        <v>0.63200000000000001</v>
      </c>
      <c r="P57" s="8">
        <f t="shared" si="6"/>
        <v>0.58199999999999996</v>
      </c>
      <c r="Q57" s="8">
        <f t="shared" si="7"/>
        <v>0.41599999999999998</v>
      </c>
    </row>
    <row r="58" spans="2:20" x14ac:dyDescent="0.25">
      <c r="O58" s="11">
        <f>SUM(O52:O57)</f>
        <v>1.5499999999999998</v>
      </c>
      <c r="P58" s="11">
        <f t="shared" ref="P58:Q58" si="8">SUM(P52:P57)</f>
        <v>1.1463999999999999</v>
      </c>
      <c r="Q58" s="11">
        <f t="shared" si="8"/>
        <v>0.83450000000000002</v>
      </c>
    </row>
  </sheetData>
  <sortState ref="A2:Q48">
    <sortCondition descending="1" ref="L2:L48"/>
  </sortState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Hardware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</dc:creator>
  <cp:lastModifiedBy>Stephen</cp:lastModifiedBy>
  <dcterms:created xsi:type="dcterms:W3CDTF">2022-03-16T13:47:46Z</dcterms:created>
  <dcterms:modified xsi:type="dcterms:W3CDTF">2023-01-24T06:53:21Z</dcterms:modified>
</cp:coreProperties>
</file>